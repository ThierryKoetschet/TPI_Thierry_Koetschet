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C94" i="1" l="1"/>
  <c r="D2" i="1"/>
  <c r="F2" i="1"/>
  <c r="H2" i="1"/>
  <c r="F6" i="1"/>
  <c r="B35" i="1"/>
  <c r="B6" i="8"/>
  <c r="B7" i="8"/>
  <c r="B8" i="8"/>
  <c r="B9" i="8"/>
  <c r="B10" i="8"/>
  <c r="B11" i="8"/>
  <c r="B12" i="8"/>
  <c r="B13" i="8"/>
  <c r="B14" i="8"/>
  <c r="B15" i="8"/>
  <c r="B16" i="8"/>
  <c r="B17" i="8"/>
  <c r="B18" i="8"/>
  <c r="B19" i="8"/>
  <c r="B20" i="8"/>
  <c r="B21" i="8"/>
  <c r="B22" i="8"/>
  <c r="B23" i="8"/>
  <c r="B24" i="8"/>
  <c r="B25"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<sst xmlns="http://schemas.openxmlformats.org/spreadsheetml/2006/main" count="124" uniqueCount="101">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</sst>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abSelected="1" topLeftCell="C1"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opLeftCell="A34" zoomScale="60" zoomScaleNormal="60" zoomScalePageLayoutView="70" workbookViewId="0">
      <selection activeCell="N96" sqref="N96"/>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1.21875</v>
      </c>
      <c r="C4" s="22"/>
      <c r="D4" s="4">
        <f>SUMIF($C$9:$C$108,$A4,D$9:D$108)</f>
        <v>0.71875</v>
      </c>
      <c r="E4" s="2"/>
      <c r="F4" s="4">
        <f>SUMIF($C$9:$C$108,$A4,F$9:F$108)</f>
        <v>0.5</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9.375E-2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0.5625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4.1666666666666664E-2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8.3333333333333329E-2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6.25E-2</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f t="shared" si="1"/>
        <v>6.25E-2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2.0833333333333332E-2</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f t="shared" si="1"/>
        <v>2.0833333333333332E-2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0.17708333333333331</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f t="shared" si="1"/>
        <v>0.17708333333333331</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0.17708333333333334</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f t="shared" si="1"/>
        <v>0.17708333333333334</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0.2326388888888889</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8.3333333333333329E-2</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f t="shared" si="3"/>
        <v>8.3333333333333329E-2</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3.472222222222222E-3</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1.3888888888888888E-2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7.9861111111111105E-2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SUMIFS(Journal!$D$4:$D$9969,Journal!$B$4:$B$9969,D$6,Journal!$C$4:$C$9969,$B93)</f>
        <v>0</v>
      </c>
      <c r="E94" s="42"/>
      <c r="F94" s="41">
        <f>SUMIFS(Journal!$D$4:$D$9969,Journal!$B$4:$B$9969,F$6,Journal!$C$4:$C$9969,$B93)</f>
        <v>5.9027777777777776E-2</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f t="shared" si="4"/>
        <v>5.9027777777777776E-2</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zoomScale="90" zoomScaleNormal="90" workbookViewId="0">
      <selection activeCell="F25" sqref="F25"/>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8" si="0">WEEKNUM(A5,1)</f>
        <v>18</v>
      </c>
      <c r="C5" s="68" t="s">
        <v>70</v>
      </c>
      <c r="D5" s="69">
        <v>0.13541666666666666</v>
      </c>
      <c r="E5" s="79" t="s">
        <v>45</v>
      </c>
      <c r="F5" s="70"/>
    </row>
    <row r="6" spans="1:6" ht="30" x14ac:dyDescent="0.25">
      <c r="A6" s="66">
        <v>45048</v>
      </c>
      <c r="B6" s="67">
        <f t="shared" si="0"/>
        <v>18</v>
      </c>
      <c r="C6" s="68" t="s">
        <v>67</v>
      </c>
      <c r="D6" s="69">
        <v>6.25E-2</v>
      </c>
      <c r="E6" s="79" t="s">
        <v>73</v>
      </c>
      <c r="F6" s="70"/>
    </row>
    <row r="7" spans="1:6" ht="30" x14ac:dyDescent="0.25">
      <c r="A7" s="66">
        <v>45048</v>
      </c>
      <c r="B7" s="67">
        <f t="shared" si="0"/>
        <v>18</v>
      </c>
      <c r="C7" s="68" t="s">
        <v>68</v>
      </c>
      <c r="D7" s="69">
        <v>6.25E-2</v>
      </c>
      <c r="E7" s="79" t="s">
        <v>74</v>
      </c>
      <c r="F7" s="70" t="s">
        <v>76</v>
      </c>
    </row>
    <row r="8" spans="1:6" x14ac:dyDescent="0.25">
      <c r="A8" s="66">
        <v>45049</v>
      </c>
      <c r="B8" s="67">
        <f t="shared" si="0"/>
        <v>18</v>
      </c>
      <c r="C8" s="68" t="s">
        <v>50</v>
      </c>
      <c r="D8" s="69">
        <v>6.25E-2</v>
      </c>
      <c r="E8" s="79" t="s">
        <v>75</v>
      </c>
      <c r="F8" s="70"/>
    </row>
    <row r="9" spans="1:6" x14ac:dyDescent="0.25">
      <c r="A9" s="66">
        <v>45049</v>
      </c>
      <c r="B9" s="67">
        <f t="shared" si="0"/>
        <v>18</v>
      </c>
      <c r="C9" s="68" t="s">
        <v>54</v>
      </c>
      <c r="D9" s="69">
        <v>6.25E-2</v>
      </c>
      <c r="E9" s="79" t="s">
        <v>77</v>
      </c>
      <c r="F9" s="70"/>
    </row>
    <row r="10" spans="1:6" x14ac:dyDescent="0.25">
      <c r="A10" s="66">
        <v>45049</v>
      </c>
      <c r="B10" s="67">
        <f t="shared" si="0"/>
        <v>18</v>
      </c>
      <c r="C10" s="68" t="s">
        <v>53</v>
      </c>
      <c r="D10" s="69">
        <v>3.125E-2</v>
      </c>
      <c r="E10" s="79" t="s">
        <v>78</v>
      </c>
      <c r="F10" s="70" t="s">
        <v>80</v>
      </c>
    </row>
    <row r="11" spans="1:6" x14ac:dyDescent="0.25">
      <c r="A11" s="66">
        <v>45050</v>
      </c>
      <c r="B11" s="67">
        <f t="shared" si="0"/>
        <v>18</v>
      </c>
      <c r="C11" s="68" t="s">
        <v>53</v>
      </c>
      <c r="D11" s="69">
        <v>6.25E-2</v>
      </c>
      <c r="E11" s="79" t="s">
        <v>79</v>
      </c>
      <c r="F11" s="70"/>
    </row>
    <row r="12" spans="1:6" ht="30" x14ac:dyDescent="0.25">
      <c r="A12" s="66">
        <v>45050</v>
      </c>
      <c r="B12" s="67">
        <f t="shared" si="0"/>
        <v>18</v>
      </c>
      <c r="C12" s="68" t="s">
        <v>28</v>
      </c>
      <c r="D12" s="69">
        <v>8.3333333333333329E-2</v>
      </c>
      <c r="E12" s="79" t="s">
        <v>81</v>
      </c>
      <c r="F12" s="70"/>
    </row>
    <row r="13" spans="1:6" ht="30" x14ac:dyDescent="0.25">
      <c r="A13" s="66">
        <v>45050</v>
      </c>
      <c r="B13" s="67">
        <f t="shared" si="0"/>
        <v>18</v>
      </c>
      <c r="C13" s="68" t="s">
        <v>51</v>
      </c>
      <c r="D13" s="69">
        <v>4.1666666666666664E-2</v>
      </c>
      <c r="E13" s="79" t="s">
        <v>84</v>
      </c>
      <c r="F13" s="70" t="s">
        <v>85</v>
      </c>
    </row>
    <row r="14" spans="1:6" x14ac:dyDescent="0.25">
      <c r="A14" s="66">
        <v>45050</v>
      </c>
      <c r="B14" s="67">
        <f t="shared" si="0"/>
        <v>18</v>
      </c>
      <c r="C14" s="68" t="s">
        <v>52</v>
      </c>
      <c r="D14" s="69">
        <v>8.3333333333333329E-2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2.0833333333333332E-2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2.0833333333333332E-2</v>
      </c>
      <c r="E19" s="79" t="s">
        <v>91</v>
      </c>
      <c r="F19" s="70"/>
    </row>
    <row r="20" spans="1:6" ht="60" x14ac:dyDescent="0.25">
      <c r="A20" s="66">
        <v>45054</v>
      </c>
      <c r="B20" s="67">
        <f t="shared" si="0"/>
        <v>19</v>
      </c>
      <c r="C20" s="68" t="s">
        <v>22</v>
      </c>
      <c r="D20" s="69">
        <v>4.1666666666666664E-2</v>
      </c>
      <c r="E20" s="79" t="s">
        <v>92</v>
      </c>
      <c r="F20" s="70" t="s">
        <v>93</v>
      </c>
    </row>
    <row r="21" spans="1:6" x14ac:dyDescent="0.25">
      <c r="A21" s="66">
        <v>45054</v>
      </c>
      <c r="B21" s="67">
        <f t="shared" si="0"/>
        <v>19</v>
      </c>
      <c r="C21" s="68" t="s">
        <v>66</v>
      </c>
      <c r="D21" s="69">
        <v>8.3333333333333329E-2</v>
      </c>
      <c r="E21" s="79" t="s">
        <v>94</v>
      </c>
      <c r="F21" s="70" t="s">
        <v>95</v>
      </c>
    </row>
    <row r="22" spans="1:6" x14ac:dyDescent="0.25">
      <c r="A22" s="66">
        <v>45055</v>
      </c>
      <c r="B22" s="67">
        <f t="shared" si="0"/>
        <v>19</v>
      </c>
      <c r="C22" s="68" t="s">
        <v>58</v>
      </c>
      <c r="D22" s="69">
        <v>0.15625</v>
      </c>
      <c r="E22" s="79" t="s">
        <v>96</v>
      </c>
      <c r="F22" s="70" t="s">
        <v>97</v>
      </c>
    </row>
    <row r="23" spans="1:6" x14ac:dyDescent="0.25">
      <c r="A23" s="66">
        <v>45055</v>
      </c>
      <c r="B23" s="67">
        <f t="shared" si="0"/>
        <v>19</v>
      </c>
      <c r="C23" s="68" t="s">
        <v>66</v>
      </c>
      <c r="D23" s="69">
        <v>9.375E-2</v>
      </c>
      <c r="E23" s="79" t="s">
        <v>98</v>
      </c>
      <c r="F23" s="70"/>
    </row>
    <row r="24" spans="1:6" ht="30" x14ac:dyDescent="0.25">
      <c r="A24" s="66">
        <v>45055</v>
      </c>
      <c r="B24" s="67">
        <f t="shared" si="0"/>
        <v>19</v>
      </c>
      <c r="C24" s="68" t="s">
        <v>88</v>
      </c>
      <c r="D24" s="69">
        <v>2.7777777777777776E-2</v>
      </c>
      <c r="E24" s="79" t="s">
        <v>99</v>
      </c>
      <c r="F24" s="70"/>
    </row>
    <row r="25" spans="1:6" ht="30" x14ac:dyDescent="0.25">
      <c r="A25" s="66">
        <v>45055</v>
      </c>
      <c r="B25" s="67">
        <f t="shared" si="0"/>
        <v>19</v>
      </c>
      <c r="C25" s="68" t="s">
        <v>71</v>
      </c>
      <c r="D25" s="69">
        <v>3.472222222222222E-3</v>
      </c>
      <c r="E25" s="79" t="s">
        <v>100</v>
      </c>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2023-05-11T13:04:11Z</dcterms:modified>
</cp:coreProperties>
</file>