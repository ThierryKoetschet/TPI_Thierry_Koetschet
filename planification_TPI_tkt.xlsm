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4" i="8"/>
  <c r="B5"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61" i="1"/>
  <c r="L62" i="1"/>
  <c r="B57" i="1"/>
  <c r="C56" i="1"/>
  <c r="C54" i="1"/>
  <c r="C52" i="1"/>
  <c r="B55" i="1"/>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<sst xmlns="http://schemas.openxmlformats.org/spreadsheetml/2006/main" count="142" uniqueCount="111">
  <si>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</si>
  <si>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</si>
  <si>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</si>
  <si>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</si>
  <si>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</si>
  <si>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</si>
  <si>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</si>
  <si>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</si>
  <si>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</si>
  <si>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</si>
  <si>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</si>
  <si>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</si>
  <si>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</si>
  <si>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</si>
  <si>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</si>
  <si>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</si>
  <si>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</si>
  <si>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</si>
  <si>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</si>
  <si>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</si>
  <si>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</si>
  <si>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</si>
  <si>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</si>
  <si>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</si>
  <si>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</si>
  <si>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</si>
  <si>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</si>
  <si>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</si>
  <si>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</si>
  <si>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</si>
  <si>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</si>
  <si>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</si>
  <si>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</si>
  <si>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</si>
  <si>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</si>
  <si>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</si>
  <si>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</si>
  <si>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</si>
  <si>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</si>
  <si>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</si>
  <si>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</si>
  <si>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</si>
  <si>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</si>
  <si>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</si>
  <si>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</si>
  <si>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</si>
  <si>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</si>
  <si>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</si>
  <si>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</si>
  <si>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</si>
  <si>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</si>
  <si>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</si>
  <si>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</si>
  <si>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</si>
  <si>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</si>
  <si>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</si>
  <si>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</si>
  <si>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</si>
  <si>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</si>
  <si>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</si>
  <si>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</si>
  <si>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</si>
  <si>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</si>
  <si>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</si>
  <si>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</si>
  <si>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</si>
  <si>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</si>
  <si>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</si>
  <si>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</si>
  <si>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</si>
  <si>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</si>
  <si>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</si>
  <si>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</si>
  <si>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</si>
  <si>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</si>
  <si>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</si>
  <si>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</si>
  <si>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</si>
  <si>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</si>
  <si>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</si>
  <si>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</si>
  <si>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</si>
  <si>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</si>
  <si>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</si>
  <si>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</si>
  <si>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</si>
  <si>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</si>
  <si>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</si>
  <si>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</si>
  <si>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</si>
  <si>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</si>
  <si>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</si>
  <si>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</si>
  <si>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</si>
  <si>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</si>
  <si>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</si>
  <si>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</si>
  <si>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</si>
  <si>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</si>
  <si>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</si>
  <si>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</si>
  <si>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</si>
  <si>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</si>
  <si>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</si>
  <si>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</si>
  <si>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</si>
  <si>
    <t>Fonctions login et register complètes</t>
  </si>
  <si>
    <t>Avance sur la page IMC</t>
  </si>
  <si>
    <t>Problème pour insérer des données de la base de données dans le graphique</t>
  </si>
  <si>
    <t>Rencontre avec M. Charmier (expert no.2)</t>
  </si>
  <si>
    <t>Début sur la page IMC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</si>
</sst>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C1"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opLeftCell="A49" zoomScale="60" zoomScaleNormal="60" zoomScalePageLayoutView="70" workbookViewId="0">
      <selection activeCell="N96" sqref="N96"/>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2.15625</v>
      </c>
      <c r="C4" s="22"/>
      <c r="D4" s="4">
        <f>SUMIF($C$9:$C$108,$A4,D$9:D$108)</f>
        <v>0.71875</v>
      </c>
      <c r="E4" s="2"/>
      <c r="F4" s="4">
        <f>SUMIF($C$9:$C$108,$A4,F$9:F$108)</f>
        <v>0.9375</v>
      </c>
      <c r="G4" s="2"/>
      <c r="H4" s="4">
        <f>SUMIF($C$9:$C$108,$A4,H$9:H$108)</f>
        <v>0.5</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SUMIFS(Journal!$D$4:$D$9968,Journal!$B$4:$B$9968,D$6,Journal!$C$4:$C$9968,$B9)</f>
        <v>6.25E-2</v>
      </c>
      <c r="E10" s="42"/>
      <c r="F10" s="41">
        <f>SUMIFS(Journal!$D$4:$D$9968,Journal!$B$4:$B$9968,F$6,Journal!$C$4:$C$9968,$B9)</f>
        <v>0</v>
      </c>
      <c r="G10" s="42"/>
      <c r="H10" s="41">
        <f>SUMIFS(Journal!$D$4:$D$9968,Journal!$B$4:$B$9968,H$6,Journal!$C$4:$C$9968,$B9)</f>
        <v>0</v>
      </c>
      <c r="I10" s="42"/>
      <c r="J10" s="41">
        <f>SUMIFS(Journal!$D$4:$D$9968,Journal!$B$4:$B$9968,J$6,Journal!$C$4:$C$9968,$B9)</f>
        <v>0</v>
      </c>
      <c r="K10" s="42"/>
      <c r="L10" s="41">
        <f>SUMIFS(Journal!$D$4:$D$9968,Journal!$B$4:$B$9968,L$6,Journal!$C$4:$C$9968,$B9)</f>
        <v>0</v>
      </c>
      <c r="M10" s="42"/>
      <c r="N10" s="41">
        <f>SUMIFS(Journal!$D$4:$D$9968,Journal!$B$4:$B$9968,N$6,Journal!$C$4:$C$9968,$B9)</f>
        <v>0</v>
      </c>
      <c r="O10" s="42"/>
      <c r="P10" s="41">
        <f>SUMIFS(Journal!$D$4:$D$9968,Journal!$B$4:$B$9968,P$6,Journal!$C$4:$C$9968,$B9)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SUMIFS(Journal!$D$4:$D$9968,Journal!$B$4:$B$9968,D$6,Journal!$C$4:$C$9968,$B11)</f>
        <v>6.25E-2</v>
      </c>
      <c r="E12" s="42"/>
      <c r="F12" s="41">
        <f>SUMIFS(Journal!$D$4:$D$9968,Journal!$B$4:$B$9968,F$6,Journal!$C$4:$C$9968,$B11)</f>
        <v>0</v>
      </c>
      <c r="G12" s="42"/>
      <c r="H12" s="41">
        <f>SUMIFS(Journal!$D$4:$D$9968,Journal!$B$4:$B$9968,H$6,Journal!$C$4:$C$9968,$B11)</f>
        <v>0</v>
      </c>
      <c r="I12" s="42"/>
      <c r="J12" s="41">
        <f>SUMIFS(Journal!$D$4:$D$9968,Journal!$B$4:$B$9968,J$6,Journal!$C$4:$C$9968,$B11)</f>
        <v>0</v>
      </c>
      <c r="K12" s="42"/>
      <c r="L12" s="41">
        <f>SUMIFS(Journal!$D$4:$D$9968,Journal!$B$4:$B$9968,L$6,Journal!$C$4:$C$9968,$B11)</f>
        <v>0</v>
      </c>
      <c r="M12" s="42"/>
      <c r="N12" s="41">
        <f>SUMIFS(Journal!$D$4:$D$9968,Journal!$B$4:$B$9968,N$6,Journal!$C$4:$C$9968,$B11)</f>
        <v>0</v>
      </c>
      <c r="O12" s="42"/>
      <c r="P12" s="41">
        <f>SUMIFS(Journal!$D$4:$D$9968,Journal!$B$4:$B$9968,P$6,Journal!$C$4:$C$9968,$B11)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SUMIFS(Journal!$D$4:$D$9968,Journal!$B$4:$B$9968,D$6,Journal!$C$4:$C$9968,$B13)</f>
        <v>6.25E-2</v>
      </c>
      <c r="E14" s="42"/>
      <c r="F14" s="41">
        <f>SUMIFS(Journal!$D$4:$D$9968,Journal!$B$4:$B$9968,F$6,Journal!$C$4:$C$9968,$B13)</f>
        <v>0</v>
      </c>
      <c r="G14" s="42"/>
      <c r="H14" s="41">
        <f>SUMIFS(Journal!$D$4:$D$9968,Journal!$B$4:$B$9968,H$6,Journal!$C$4:$C$9968,$B13)</f>
        <v>0</v>
      </c>
      <c r="I14" s="42"/>
      <c r="J14" s="41">
        <f>SUMIFS(Journal!$D$4:$D$9968,Journal!$B$4:$B$9968,J$6,Journal!$C$4:$C$9968,$B13)</f>
        <v>0</v>
      </c>
      <c r="K14" s="42"/>
      <c r="L14" s="41">
        <f>SUMIFS(Journal!$D$4:$D$9968,Journal!$B$4:$B$9968,L$6,Journal!$C$4:$C$9968,$B13)</f>
        <v>0</v>
      </c>
      <c r="M14" s="42"/>
      <c r="N14" s="41">
        <f>SUMIFS(Journal!$D$4:$D$9968,Journal!$B$4:$B$9968,N$6,Journal!$C$4:$C$9968,$B13)</f>
        <v>0</v>
      </c>
      <c r="O14" s="42"/>
      <c r="P14" s="41">
        <f>SUMIFS(Journal!$D$4:$D$9968,Journal!$B$4:$B$9968,P$6,Journal!$C$4:$C$9968,$B13)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SUMIFS(Journal!$D$4:$D$9968,Journal!$B$4:$B$9968,D$6,Journal!$C$4:$C$9968,$B15)</f>
        <v>6.25E-2</v>
      </c>
      <c r="E16" s="42"/>
      <c r="F16" s="41">
        <f>SUMIFS(Journal!$D$4:$D$9968,Journal!$B$4:$B$9968,F$6,Journal!$C$4:$C$9968,$B15)</f>
        <v>0</v>
      </c>
      <c r="G16" s="42"/>
      <c r="H16" s="41">
        <f>SUMIFS(Journal!$D$4:$D$9968,Journal!$B$4:$B$9968,H$6,Journal!$C$4:$C$9968,$B15)</f>
        <v>0</v>
      </c>
      <c r="I16" s="42"/>
      <c r="J16" s="41">
        <f>SUMIFS(Journal!$D$4:$D$9968,Journal!$B$4:$B$9968,J$6,Journal!$C$4:$C$9968,$B15)</f>
        <v>0</v>
      </c>
      <c r="K16" s="42"/>
      <c r="L16" s="41">
        <f>SUMIFS(Journal!$D$4:$D$9968,Journal!$B$4:$B$9968,L$6,Journal!$C$4:$C$9968,$B15)</f>
        <v>0</v>
      </c>
      <c r="M16" s="42"/>
      <c r="N16" s="41">
        <f>SUMIFS(Journal!$D$4:$D$9968,Journal!$B$4:$B$9968,N$6,Journal!$C$4:$C$9968,$B15)</f>
        <v>0</v>
      </c>
      <c r="O16" s="42"/>
      <c r="P16" s="41">
        <f>SUMIFS(Journal!$D$4:$D$9968,Journal!$B$4:$B$9968,P$6,Journal!$C$4:$C$9968,$B15)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SUMIFS(Journal!$D$4:$D$9968,Journal!$B$4:$B$9968,D$6,Journal!$C$4:$C$9968,$B17)</f>
        <v>9.375E-2</v>
      </c>
      <c r="E18" s="42"/>
      <c r="F18" s="41">
        <f>SUMIFS(Journal!$D$4:$D$9968,Journal!$B$4:$B$9968,F$6,Journal!$C$4:$C$9968,$B17)</f>
        <v>0</v>
      </c>
      <c r="G18" s="42"/>
      <c r="H18" s="41">
        <f>SUMIFS(Journal!$D$4:$D$9968,Journal!$B$4:$B$9968,H$6,Journal!$C$4:$C$9968,$B17)</f>
        <v>0</v>
      </c>
      <c r="I18" s="42"/>
      <c r="J18" s="41">
        <f>SUMIFS(Journal!$D$4:$D$9968,Journal!$B$4:$B$9968,J$6,Journal!$C$4:$C$9968,$B17)</f>
        <v>0</v>
      </c>
      <c r="K18" s="42"/>
      <c r="L18" s="41">
        <f>SUMIFS(Journal!$D$4:$D$9968,Journal!$B$4:$B$9968,L$6,Journal!$C$4:$C$9968,$B17)</f>
        <v>0</v>
      </c>
      <c r="M18" s="42"/>
      <c r="N18" s="41">
        <f>SUMIFS(Journal!$D$4:$D$9968,Journal!$B$4:$B$9968,N$6,Journal!$C$4:$C$9968,$B17)</f>
        <v>0</v>
      </c>
      <c r="O18" s="42"/>
      <c r="P18" s="41">
        <f>SUMIFS(Journal!$D$4:$D$9968,Journal!$B$4:$B$9968,P$6,Journal!$C$4:$C$9968,$B17)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SUMIFS(Journal!$D$4:$D$9968,Journal!$B$4:$B$9968,D$6,Journal!$C$4:$C$9968,$B19)</f>
        <v>0</v>
      </c>
      <c r="E20" s="42"/>
      <c r="F20" s="41">
        <f>SUMIFS(Journal!$D$4:$D$9968,Journal!$B$4:$B$9968,F$6,Journal!$C$4:$C$9968,$B19)</f>
        <v>0</v>
      </c>
      <c r="G20" s="42"/>
      <c r="H20" s="41">
        <f>SUMIFS(Journal!$D$4:$D$9968,Journal!$B$4:$B$9968,H$6,Journal!$C$4:$C$9968,$B19)</f>
        <v>0</v>
      </c>
      <c r="I20" s="42"/>
      <c r="J20" s="41">
        <f>SUMIFS(Journal!$D$4:$D$9968,Journal!$B$4:$B$9968,J$6,Journal!$C$4:$C$9968,$B19)</f>
        <v>0</v>
      </c>
      <c r="K20" s="42"/>
      <c r="L20" s="41">
        <f>SUMIFS(Journal!$D$4:$D$9968,Journal!$B$4:$B$9968,L$6,Journal!$C$4:$C$9968,$B19)</f>
        <v>0</v>
      </c>
      <c r="M20" s="42"/>
      <c r="N20" s="41">
        <f>SUMIFS(Journal!$D$4:$D$9968,Journal!$B$4:$B$9968,N$6,Journal!$C$4:$C$9968,$B19)</f>
        <v>0</v>
      </c>
      <c r="O20" s="42"/>
      <c r="P20" s="41">
        <f>SUMIFS(Journal!$D$4:$D$9968,Journal!$B$4:$B$9968,P$6,Journal!$C$4:$C$9968,$B19)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SUMIFS(Journal!$D$4:$D$9968,Journal!$B$4:$B$9968,D$6,Journal!$C$4:$C$9968,$B21)</f>
        <v>0</v>
      </c>
      <c r="E22" s="42"/>
      <c r="F22" s="41">
        <f>SUMIFS(Journal!$D$4:$D$9968,Journal!$B$4:$B$9968,F$6,Journal!$C$4:$C$9968,$B21)</f>
        <v>0</v>
      </c>
      <c r="G22" s="42"/>
      <c r="H22" s="41">
        <f>SUMIFS(Journal!$D$4:$D$9968,Journal!$B$4:$B$9968,H$6,Journal!$C$4:$C$9968,$B21)</f>
        <v>0</v>
      </c>
      <c r="I22" s="42"/>
      <c r="J22" s="41">
        <f>SUMIFS(Journal!$D$4:$D$9968,Journal!$B$4:$B$9968,J$6,Journal!$C$4:$C$9968,$B21)</f>
        <v>0</v>
      </c>
      <c r="K22" s="42"/>
      <c r="L22" s="41">
        <f>SUMIFS(Journal!$D$4:$D$9968,Journal!$B$4:$B$9968,L$6,Journal!$C$4:$C$9968,$B21)</f>
        <v>0</v>
      </c>
      <c r="M22" s="42"/>
      <c r="N22" s="41">
        <f>SUMIFS(Journal!$D$4:$D$9968,Journal!$B$4:$B$9968,N$6,Journal!$C$4:$C$9968,$B21)</f>
        <v>0</v>
      </c>
      <c r="O22" s="42"/>
      <c r="P22" s="41">
        <f>SUMIFS(Journal!$D$4:$D$9968,Journal!$B$4:$B$9968,P$6,Journal!$C$4:$C$9968,$B21)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SUMIFS(Journal!$D$4:$D$9968,Journal!$B$4:$B$9968,D$6,Journal!$C$4:$C$9968,$B23)</f>
        <v>0</v>
      </c>
      <c r="E24" s="42"/>
      <c r="F24" s="41">
        <f>SUMIFS(Journal!$D$4:$D$9968,Journal!$B$4:$B$9968,F$6,Journal!$C$4:$C$9968,$B23)</f>
        <v>0</v>
      </c>
      <c r="G24" s="42"/>
      <c r="H24" s="41">
        <f>SUMIFS(Journal!$D$4:$D$9968,Journal!$B$4:$B$9968,H$6,Journal!$C$4:$C$9968,$B23)</f>
        <v>0</v>
      </c>
      <c r="I24" s="42"/>
      <c r="J24" s="41">
        <f>SUMIFS(Journal!$D$4:$D$9968,Journal!$B$4:$B$9968,J$6,Journal!$C$4:$C$9968,$B23)</f>
        <v>0</v>
      </c>
      <c r="K24" s="42"/>
      <c r="L24" s="41">
        <f>SUMIFS(Journal!$D$4:$D$9968,Journal!$B$4:$B$9968,L$6,Journal!$C$4:$C$9968,$B23)</f>
        <v>0</v>
      </c>
      <c r="M24" s="42"/>
      <c r="N24" s="41">
        <f>SUMIFS(Journal!$D$4:$D$9968,Journal!$B$4:$B$9968,N$6,Journal!$C$4:$C$9968,$B23)</f>
        <v>0</v>
      </c>
      <c r="O24" s="42"/>
      <c r="P24" s="41">
        <f>SUMIFS(Journal!$D$4:$D$9968,Journal!$B$4:$B$9968,P$6,Journal!$C$4:$C$9968,$B23)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SUMIFS(Journal!$D$4:$D$9968,Journal!$B$4:$B$9968,D$6,Journal!$C$4:$C$9968,$B25)</f>
        <v>0</v>
      </c>
      <c r="E26" s="42"/>
      <c r="F26" s="41">
        <f>SUMIFS(Journal!$D$4:$D$9968,Journal!$B$4:$B$9968,F$6,Journal!$C$4:$C$9968,$B25)</f>
        <v>0</v>
      </c>
      <c r="G26" s="42"/>
      <c r="H26" s="41">
        <f>SUMIFS(Journal!$D$4:$D$9968,Journal!$B$4:$B$9968,H$6,Journal!$C$4:$C$9968,$B25)</f>
        <v>0</v>
      </c>
      <c r="I26" s="42"/>
      <c r="J26" s="41">
        <f>SUMIFS(Journal!$D$4:$D$9968,Journal!$B$4:$B$9968,J$6,Journal!$C$4:$C$9968,$B25)</f>
        <v>0</v>
      </c>
      <c r="K26" s="42"/>
      <c r="L26" s="41">
        <f>SUMIFS(Journal!$D$4:$D$9968,Journal!$B$4:$B$9968,L$6,Journal!$C$4:$C$9968,$B25)</f>
        <v>0</v>
      </c>
      <c r="M26" s="42"/>
      <c r="N26" s="41">
        <f>SUMIFS(Journal!$D$4:$D$9968,Journal!$B$4:$B$9968,N$6,Journal!$C$4:$C$9968,$B25)</f>
        <v>0</v>
      </c>
      <c r="O26" s="42"/>
      <c r="P26" s="41">
        <f>SUMIFS(Journal!$D$4:$D$9968,Journal!$B$4:$B$9968,P$6,Journal!$C$4:$C$9968,$B25)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1.25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SUMIFS(Journal!$D$4:$D$9968,Journal!$B$4:$B$9968,D$6,Journal!$C$4:$C$9968,$B29)</f>
        <v>4.1666666666666664E-2</v>
      </c>
      <c r="E30" s="42"/>
      <c r="F30" s="41">
        <f>SUMIFS(Journal!$D$4:$D$9968,Journal!$B$4:$B$9968,F$6,Journal!$C$4:$C$9968,$B29)</f>
        <v>0</v>
      </c>
      <c r="G30" s="42"/>
      <c r="H30" s="41">
        <f>SUMIFS(Journal!$D$4:$D$9968,Journal!$B$4:$B$9968,H$6,Journal!$C$4:$C$9968,$B29)</f>
        <v>0</v>
      </c>
      <c r="I30" s="42"/>
      <c r="J30" s="41">
        <f>SUMIFS(Journal!$D$4:$D$9968,Journal!$B$4:$B$9968,J$6,Journal!$C$4:$C$9968,$B29)</f>
        <v>0</v>
      </c>
      <c r="K30" s="42"/>
      <c r="L30" s="41">
        <f>SUMIFS(Journal!$D$4:$D$9968,Journal!$B$4:$B$9968,L$6,Journal!$C$4:$C$9968,$B29)</f>
        <v>0</v>
      </c>
      <c r="M30" s="42"/>
      <c r="N30" s="41">
        <f>SUMIFS(Journal!$D$4:$D$9968,Journal!$B$4:$B$9968,N$6,Journal!$C$4:$C$9968,$B29)</f>
        <v>0</v>
      </c>
      <c r="O30" s="42"/>
      <c r="P30" s="41">
        <f>SUMIFS(Journal!$D$4:$D$9968,Journal!$B$4:$B$9968,P$6,Journal!$C$4:$C$9968,$B29)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SUMIFS(Journal!$D$4:$D$9968,Journal!$B$4:$B$9968,D$6,Journal!$C$4:$C$9968,$B31)</f>
        <v>8.3333333333333329E-2</v>
      </c>
      <c r="E32" s="42"/>
      <c r="F32" s="41">
        <f>SUMIFS(Journal!$D$4:$D$9968,Journal!$B$4:$B$9968,F$6,Journal!$C$4:$C$9968,$B31)</f>
        <v>0</v>
      </c>
      <c r="G32" s="42"/>
      <c r="H32" s="41">
        <f>SUMIFS(Journal!$D$4:$D$9968,Journal!$B$4:$B$9968,H$6,Journal!$C$4:$C$9968,$B31)</f>
        <v>0</v>
      </c>
      <c r="I32" s="42"/>
      <c r="J32" s="41">
        <f>SUMIFS(Journal!$D$4:$D$9968,Journal!$B$4:$B$9968,J$6,Journal!$C$4:$C$9968,$B31)</f>
        <v>0</v>
      </c>
      <c r="K32" s="42"/>
      <c r="L32" s="41">
        <f>SUMIFS(Journal!$D$4:$D$9968,Journal!$B$4:$B$9968,L$6,Journal!$C$4:$C$9968,$B31)</f>
        <v>0</v>
      </c>
      <c r="M32" s="42"/>
      <c r="N32" s="41">
        <f>SUMIFS(Journal!$D$4:$D$9968,Journal!$B$4:$B$9968,N$6,Journal!$C$4:$C$9968,$B31)</f>
        <v>0</v>
      </c>
      <c r="O32" s="42"/>
      <c r="P32" s="41">
        <f>SUMIFS(Journal!$D$4:$D$9968,Journal!$B$4:$B$9968,P$6,Journal!$C$4:$C$9968,$B31)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SUMIFS(Journal!$D$4:$D$9968,Journal!$B$4:$B$9968,D$6,Journal!$C$4:$C$9968,$B33)</f>
        <v>0</v>
      </c>
      <c r="E34" s="42"/>
      <c r="F34" s="41">
        <f>SUMIFS(Journal!$D$4:$D$9968,Journal!$B$4:$B$9968,F$6,Journal!$C$4:$C$9968,$B33)</f>
        <v>6.25E-2</v>
      </c>
      <c r="G34" s="42"/>
      <c r="H34" s="41">
        <f>SUMIFS(Journal!$D$4:$D$9968,Journal!$B$4:$B$9968,H$6,Journal!$C$4:$C$9968,$B33)</f>
        <v>0</v>
      </c>
      <c r="I34" s="42"/>
      <c r="J34" s="41">
        <f>SUMIFS(Journal!$D$4:$D$9968,Journal!$B$4:$B$9968,J$6,Journal!$C$4:$C$9968,$B33)</f>
        <v>0</v>
      </c>
      <c r="K34" s="42"/>
      <c r="L34" s="41">
        <f>SUMIFS(Journal!$D$4:$D$9968,Journal!$B$4:$B$9968,L$6,Journal!$C$4:$C$9968,$B33)</f>
        <v>0</v>
      </c>
      <c r="M34" s="42"/>
      <c r="N34" s="41">
        <f>SUMIFS(Journal!$D$4:$D$9968,Journal!$B$4:$B$9968,N$6,Journal!$C$4:$C$9968,$B33)</f>
        <v>0</v>
      </c>
      <c r="O34" s="42"/>
      <c r="P34" s="41">
        <f>SUMIFS(Journal!$D$4:$D$9968,Journal!$B$4:$B$9968,P$6,Journal!$C$4:$C$9968,$B33)</f>
        <v>0</v>
      </c>
      <c r="Q34" s="43">
        <f t="shared" si="1"/>
        <v>6.25E-2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SUMIFS(Journal!$D$4:$D$9968,Journal!$B$4:$B$9968,D$6,Journal!$C$4:$C$9968,$B35)</f>
        <v>0</v>
      </c>
      <c r="E36" s="42"/>
      <c r="F36" s="41">
        <f>SUMIFS(Journal!$D$4:$D$9968,Journal!$B$4:$B$9968,F$6,Journal!$C$4:$C$9968,$B35)</f>
        <v>2.0833333333333332E-2</v>
      </c>
      <c r="G36" s="42"/>
      <c r="H36" s="41">
        <f>SUMIFS(Journal!$D$4:$D$9968,Journal!$B$4:$B$9968,H$6,Journal!$C$4:$C$9968,$B35)</f>
        <v>0</v>
      </c>
      <c r="I36" s="42"/>
      <c r="J36" s="41">
        <f>SUMIFS(Journal!$D$4:$D$9968,Journal!$B$4:$B$9968,J$6,Journal!$C$4:$C$9968,$B35)</f>
        <v>0</v>
      </c>
      <c r="K36" s="42"/>
      <c r="L36" s="41">
        <f>SUMIFS(Journal!$D$4:$D$9968,Journal!$B$4:$B$9968,L$6,Journal!$C$4:$C$9968,$B35)</f>
        <v>0</v>
      </c>
      <c r="M36" s="42"/>
      <c r="N36" s="41">
        <f>SUMIFS(Journal!$D$4:$D$9968,Journal!$B$4:$B$9968,N$6,Journal!$C$4:$C$9968,$B35)</f>
        <v>0</v>
      </c>
      <c r="O36" s="42"/>
      <c r="P36" s="41">
        <f>SUMIFS(Journal!$D$4:$D$9968,Journal!$B$4:$B$9968,P$6,Journal!$C$4:$C$9968,$B35)</f>
        <v>0</v>
      </c>
      <c r="Q36" s="43">
        <f t="shared" si="1"/>
        <v>2.0833333333333332E-2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SUMIFS(Journal!$D$4:$D$9968,Journal!$B$4:$B$9968,D$6,Journal!$C$4:$C$9968,$B37)</f>
        <v>0</v>
      </c>
      <c r="E38" s="42"/>
      <c r="F38" s="41">
        <f>SUMIFS(Journal!$D$4:$D$9968,Journal!$B$4:$B$9968,F$6,Journal!$C$4:$C$9968,$B37)</f>
        <v>0.17708333333333331</v>
      </c>
      <c r="G38" s="42"/>
      <c r="H38" s="41">
        <f>SUMIFS(Journal!$D$4:$D$9968,Journal!$B$4:$B$9968,H$6,Journal!$C$4:$C$9968,$B37)</f>
        <v>0</v>
      </c>
      <c r="I38" s="42"/>
      <c r="J38" s="41">
        <f>SUMIFS(Journal!$D$4:$D$9968,Journal!$B$4:$B$9968,J$6,Journal!$C$4:$C$9968,$B37)</f>
        <v>0</v>
      </c>
      <c r="K38" s="42"/>
      <c r="L38" s="41">
        <f>SUMIFS(Journal!$D$4:$D$9968,Journal!$B$4:$B$9968,L$6,Journal!$C$4:$C$9968,$B37)</f>
        <v>0</v>
      </c>
      <c r="M38" s="42"/>
      <c r="N38" s="41">
        <f>SUMIFS(Journal!$D$4:$D$9968,Journal!$B$4:$B$9968,N$6,Journal!$C$4:$C$9968,$B37)</f>
        <v>0</v>
      </c>
      <c r="O38" s="42"/>
      <c r="P38" s="41">
        <f>SUMIFS(Journal!$D$4:$D$9968,Journal!$B$4:$B$9968,P$6,Journal!$C$4:$C$9968,$B37)</f>
        <v>0</v>
      </c>
      <c r="Q38" s="43">
        <f t="shared" si="1"/>
        <v>0.17708333333333331</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SUMIFS(Journal!$D$4:$D$9968,Journal!$B$4:$B$9968,D$6,Journal!$C$4:$C$9968,$B39)</f>
        <v>0</v>
      </c>
      <c r="E40" s="42"/>
      <c r="F40" s="41">
        <f>SUMIFS(Journal!$D$4:$D$9968,Journal!$B$4:$B$9968,F$6,Journal!$C$4:$C$9968,$B39)</f>
        <v>0.17708333333333334</v>
      </c>
      <c r="G40" s="42"/>
      <c r="H40" s="41">
        <f>SUMIFS(Journal!$D$4:$D$9968,Journal!$B$4:$B$9968,H$6,Journal!$C$4:$C$9968,$B39)</f>
        <v>0</v>
      </c>
      <c r="I40" s="42"/>
      <c r="J40" s="41">
        <f>SUMIFS(Journal!$D$4:$D$9968,Journal!$B$4:$B$9968,J$6,Journal!$C$4:$C$9968,$B39)</f>
        <v>0</v>
      </c>
      <c r="K40" s="42"/>
      <c r="L40" s="41">
        <f>SUMIFS(Journal!$D$4:$D$9968,Journal!$B$4:$B$9968,L$6,Journal!$C$4:$C$9968,$B39)</f>
        <v>0</v>
      </c>
      <c r="M40" s="42"/>
      <c r="N40" s="41">
        <f>SUMIFS(Journal!$D$4:$D$9968,Journal!$B$4:$B$9968,N$6,Journal!$C$4:$C$9968,$B39)</f>
        <v>0</v>
      </c>
      <c r="O40" s="42"/>
      <c r="P40" s="41">
        <f>SUMIFS(Journal!$D$4:$D$9968,Journal!$B$4:$B$9968,P$6,Journal!$C$4:$C$9968,$B39)</f>
        <v>0</v>
      </c>
      <c r="Q40" s="43">
        <f t="shared" si="1"/>
        <v>0.17708333333333334</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SUMIFS(Journal!$D$4:$D$9968,Journal!$B$4:$B$9968,D$6,Journal!$C$4:$C$9968,$B41)</f>
        <v>0</v>
      </c>
      <c r="E42" s="42"/>
      <c r="F42" s="41">
        <f>SUMIFS(Journal!$D$4:$D$9968,Journal!$B$4:$B$9968,F$6,Journal!$C$4:$C$9968,$B41)</f>
        <v>0</v>
      </c>
      <c r="G42" s="42"/>
      <c r="H42" s="41">
        <f>SUMIFS(Journal!$D$4:$D$9968,Journal!$B$4:$B$9968,H$6,Journal!$C$4:$C$9968,$B41)</f>
        <v>0.26041666666666669</v>
      </c>
      <c r="I42" s="42"/>
      <c r="J42" s="41">
        <f>SUMIFS(Journal!$D$4:$D$9968,Journal!$B$4:$B$9968,J$6,Journal!$C$4:$C$9968,$B41)</f>
        <v>0</v>
      </c>
      <c r="K42" s="42"/>
      <c r="L42" s="41">
        <f>SUMIFS(Journal!$D$4:$D$9968,Journal!$B$4:$B$9968,L$6,Journal!$C$4:$C$9968,$B41)</f>
        <v>0</v>
      </c>
      <c r="M42" s="42"/>
      <c r="N42" s="41">
        <f>SUMIFS(Journal!$D$4:$D$9968,Journal!$B$4:$B$9968,N$6,Journal!$C$4:$C$9968,$B41)</f>
        <v>0</v>
      </c>
      <c r="O42" s="42"/>
      <c r="P42" s="41">
        <f>SUMIFS(Journal!$D$4:$D$9968,Journal!$B$4:$B$9968,P$6,Journal!$C$4:$C$9968,$B41)</f>
        <v>0</v>
      </c>
      <c r="Q42" s="43">
        <f t="shared" si="1"/>
        <v>0.26041666666666669</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SUMIFS(Journal!$D$4:$D$9968,Journal!$B$4:$B$9968,D$6,Journal!$C$4:$C$9968,$B43)</f>
        <v>0</v>
      </c>
      <c r="E44" s="42"/>
      <c r="F44" s="41">
        <f>SUMIFS(Journal!$D$4:$D$9968,Journal!$B$4:$B$9968,F$6,Journal!$C$4:$C$9968,$B43)</f>
        <v>0</v>
      </c>
      <c r="G44" s="42"/>
      <c r="H44" s="41">
        <f>SUMIFS(Journal!$D$4:$D$9968,Journal!$B$4:$B$9968,H$6,Journal!$C$4:$C$9968,$B43)</f>
        <v>0</v>
      </c>
      <c r="I44" s="42"/>
      <c r="J44" s="41">
        <f>SUMIFS(Journal!$D$4:$D$9968,Journal!$B$4:$B$9968,J$6,Journal!$C$4:$C$9968,$B43)</f>
        <v>0</v>
      </c>
      <c r="K44" s="42"/>
      <c r="L44" s="41">
        <f>SUMIFS(Journal!$D$4:$D$9968,Journal!$B$4:$B$9968,L$6,Journal!$C$4:$C$9968,$B43)</f>
        <v>0</v>
      </c>
      <c r="M44" s="42"/>
      <c r="N44" s="41">
        <f>SUMIFS(Journal!$D$4:$D$9968,Journal!$B$4:$B$9968,N$6,Journal!$C$4:$C$9968,$B43)</f>
        <v>0</v>
      </c>
      <c r="O44" s="42"/>
      <c r="P44" s="41">
        <f>SUMIFS(Journal!$D$4:$D$9968,Journal!$B$4:$B$9968,P$6,Journal!$C$4:$C$9968,$B43)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SUMIFS(Journal!$D$4:$D$9968,Journal!$B$4:$B$9968,D$6,Journal!$C$4:$C$9968,$B45)</f>
        <v>0</v>
      </c>
      <c r="E46" s="42"/>
      <c r="F46" s="41">
        <f>SUMIFS(Journal!$D$4:$D$9968,Journal!$B$4:$B$9968,F$6,Journal!$C$4:$C$9968,$B45)</f>
        <v>0.20833333333333334</v>
      </c>
      <c r="G46" s="42"/>
      <c r="H46" s="41">
        <f>SUMIFS(Journal!$D$4:$D$9968,Journal!$B$4:$B$9968,H$6,Journal!$C$4:$C$9968,$B45)</f>
        <v>0.21875</v>
      </c>
      <c r="I46" s="42"/>
      <c r="J46" s="41">
        <f>SUMIFS(Journal!$D$4:$D$9968,Journal!$B$4:$B$9968,J$6,Journal!$C$4:$C$9968,$B45)</f>
        <v>0</v>
      </c>
      <c r="K46" s="42"/>
      <c r="L46" s="41">
        <f>SUMIFS(Journal!$D$4:$D$9968,Journal!$B$4:$B$9968,L$6,Journal!$C$4:$C$9968,$B45)</f>
        <v>0</v>
      </c>
      <c r="M46" s="42"/>
      <c r="N46" s="41">
        <f>SUMIFS(Journal!$D$4:$D$9968,Journal!$B$4:$B$9968,N$6,Journal!$C$4:$C$9968,$B45)</f>
        <v>0</v>
      </c>
      <c r="O46" s="42"/>
      <c r="P46" s="41">
        <f>SUMIFS(Journal!$D$4:$D$9968,Journal!$B$4:$B$9968,P$6,Journal!$C$4:$C$9968,$B45)</f>
        <v>0</v>
      </c>
      <c r="Q46" s="43">
        <f t="shared" si="1"/>
        <v>0.42708333333333337</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SUMIFS(Journal!$D$4:$D$9968,Journal!$B$4:$B$9968,D$6,Journal!$C$4:$C$9968,$B47)</f>
        <v>0</v>
      </c>
      <c r="E48" s="42"/>
      <c r="F48" s="41">
        <f>SUMIFS(Journal!$D$4:$D$9968,Journal!$B$4:$B$9968,F$6,Journal!$C$4:$C$9968,$B47)</f>
        <v>0.15625</v>
      </c>
      <c r="G48" s="42"/>
      <c r="H48" s="41">
        <f>SUMIFS(Journal!$D$4:$D$9968,Journal!$B$4:$B$9968,H$6,Journal!$C$4:$C$9968,$B47)</f>
        <v>0</v>
      </c>
      <c r="I48" s="42"/>
      <c r="J48" s="41">
        <f>SUMIFS(Journal!$D$4:$D$9968,Journal!$B$4:$B$9968,J$6,Journal!$C$4:$C$9968,$B47)</f>
        <v>0</v>
      </c>
      <c r="K48" s="42"/>
      <c r="L48" s="41">
        <f>SUMIFS(Journal!$D$4:$D$9968,Journal!$B$4:$B$9968,L$6,Journal!$C$4:$C$9968,$B47)</f>
        <v>0</v>
      </c>
      <c r="M48" s="42"/>
      <c r="N48" s="41">
        <f>SUMIFS(Journal!$D$4:$D$9968,Journal!$B$4:$B$9968,N$6,Journal!$C$4:$C$9968,$B47)</f>
        <v>0</v>
      </c>
      <c r="O48" s="42"/>
      <c r="P48" s="41">
        <f>SUMIFS(Journal!$D$4:$D$9968,Journal!$B$4:$B$9968,P$6,Journal!$C$4:$C$9968,$B47)</f>
        <v>0</v>
      </c>
      <c r="Q48" s="43">
        <f t="shared" si="1"/>
        <v>0.15625</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SUMIFS(Journal!$D$4:$D$9968,Journal!$B$4:$B$9968,D$6,Journal!$C$4:$C$9968,$B51)</f>
        <v>0</v>
      </c>
      <c r="E52" s="42"/>
      <c r="F52" s="41">
        <f>SUMIFS(Journal!$D$4:$D$9968,Journal!$B$4:$B$9968,F$6,Journal!$C$4:$C$9968,$B51)</f>
        <v>0</v>
      </c>
      <c r="G52" s="42"/>
      <c r="H52" s="41">
        <f>SUMIFS(Journal!$D$4:$D$9968,Journal!$B$4:$B$9968,H$6,Journal!$C$4:$C$9968,$B51)</f>
        <v>0</v>
      </c>
      <c r="I52" s="42"/>
      <c r="J52" s="41">
        <f>SUMIFS(Journal!$D$4:$D$9968,Journal!$B$4:$B$9968,J$6,Journal!$C$4:$C$9968,$B51)</f>
        <v>0</v>
      </c>
      <c r="K52" s="42"/>
      <c r="L52" s="41">
        <f>SUMIFS(Journal!$D$4:$D$9968,Journal!$B$4:$B$9968,L$6,Journal!$C$4:$C$9968,$B51)</f>
        <v>0</v>
      </c>
      <c r="M52" s="42"/>
      <c r="N52" s="41">
        <f>SUMIFS(Journal!$D$4:$D$9968,Journal!$B$4:$B$9968,N$6,Journal!$C$4:$C$9968,$B51)</f>
        <v>0</v>
      </c>
      <c r="O52" s="42"/>
      <c r="P52" s="41">
        <f>SUMIFS(Journal!$D$4:$D$9968,Journal!$B$4:$B$9968,P$6,Journal!$C$4:$C$9968,$B51)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SUMIFS(Journal!$D$4:$D$9968,Journal!$B$4:$B$9968,D$6,Journal!$C$4:$C$9968,$B53)</f>
        <v>0</v>
      </c>
      <c r="E54" s="42"/>
      <c r="F54" s="41">
        <f>SUMIFS(Journal!$D$4:$D$9968,Journal!$B$4:$B$9968,F$6,Journal!$C$4:$C$9968,$B53)</f>
        <v>0</v>
      </c>
      <c r="G54" s="42"/>
      <c r="H54" s="41">
        <f>SUMIFS(Journal!$D$4:$D$9968,Journal!$B$4:$B$9968,H$6,Journal!$C$4:$C$9968,$B53)</f>
        <v>0</v>
      </c>
      <c r="I54" s="42"/>
      <c r="J54" s="41">
        <f>SUMIFS(Journal!$D$4:$D$9968,Journal!$B$4:$B$9968,J$6,Journal!$C$4:$C$9968,$B53)</f>
        <v>0</v>
      </c>
      <c r="K54" s="42"/>
      <c r="L54" s="41">
        <f>SUMIFS(Journal!$D$4:$D$9968,Journal!$B$4:$B$9968,L$6,Journal!$C$4:$C$9968,$B53)</f>
        <v>0</v>
      </c>
      <c r="M54" s="42"/>
      <c r="N54" s="41">
        <f>SUMIFS(Journal!$D$4:$D$9968,Journal!$B$4:$B$9968,N$6,Journal!$C$4:$C$9968,$B53)</f>
        <v>0</v>
      </c>
      <c r="O54" s="42"/>
      <c r="P54" s="41">
        <f>SUMIFS(Journal!$D$4:$D$9968,Journal!$B$4:$B$9968,P$6,Journal!$C$4:$C$9968,$B53)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SUMIFS(Journal!$D$4:$D$9968,Journal!$B$4:$B$9968,D$6,Journal!$C$4:$C$9968,$B55)</f>
        <v>0</v>
      </c>
      <c r="E56" s="42"/>
      <c r="F56" s="41">
        <f>SUMIFS(Journal!$D$4:$D$9968,Journal!$B$4:$B$9968,F$6,Journal!$C$4:$C$9968,$B55)</f>
        <v>0</v>
      </c>
      <c r="G56" s="42"/>
      <c r="H56" s="41">
        <f>SUMIFS(Journal!$D$4:$D$9968,Journal!$B$4:$B$9968,H$6,Journal!$C$4:$C$9968,$B55)</f>
        <v>0</v>
      </c>
      <c r="I56" s="42"/>
      <c r="J56" s="41">
        <f>SUMIFS(Journal!$D$4:$D$9968,Journal!$B$4:$B$9968,J$6,Journal!$C$4:$C$9968,$B55)</f>
        <v>0</v>
      </c>
      <c r="K56" s="42"/>
      <c r="L56" s="41">
        <f>SUMIFS(Journal!$D$4:$D$9968,Journal!$B$4:$B$9968,L$6,Journal!$C$4:$C$9968,$B55)</f>
        <v>0</v>
      </c>
      <c r="M56" s="42"/>
      <c r="N56" s="41">
        <f>SUMIFS(Journal!$D$4:$D$9968,Journal!$B$4:$B$9968,N$6,Journal!$C$4:$C$9968,$B55)</f>
        <v>0</v>
      </c>
      <c r="O56" s="42"/>
      <c r="P56" s="41">
        <f>SUMIFS(Journal!$D$4:$D$9968,Journal!$B$4:$B$9968,P$6,Journal!$C$4:$C$9968,$B55)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SUMIFS(Journal!$D$4:$D$9968,Journal!$B$4:$B$9968,D$6,Journal!$C$4:$C$9968,$B57)</f>
        <v>0</v>
      </c>
      <c r="E58" s="42"/>
      <c r="F58" s="41">
        <f>SUMIFS(Journal!$D$4:$D$9968,Journal!$B$4:$B$9968,F$6,Journal!$C$4:$C$9968,$B57)</f>
        <v>0</v>
      </c>
      <c r="G58" s="42"/>
      <c r="H58" s="41">
        <f>SUMIFS(Journal!$D$4:$D$9968,Journal!$B$4:$B$9968,H$6,Journal!$C$4:$C$9968,$B57)</f>
        <v>0</v>
      </c>
      <c r="I58" s="42"/>
      <c r="J58" s="41">
        <f>SUMIFS(Journal!$D$4:$D$9968,Journal!$B$4:$B$9968,J$6,Journal!$C$4:$C$9968,$B57)</f>
        <v>0</v>
      </c>
      <c r="K58" s="42"/>
      <c r="L58" s="41">
        <f>SUMIFS(Journal!$D$4:$D$9968,Journal!$B$4:$B$9968,L$6,Journal!$C$4:$C$9968,$B57)</f>
        <v>0</v>
      </c>
      <c r="M58" s="42"/>
      <c r="N58" s="41">
        <f>SUMIFS(Journal!$D$4:$D$9968,Journal!$B$4:$B$9968,N$6,Journal!$C$4:$C$9968,$B57)</f>
        <v>0</v>
      </c>
      <c r="O58" s="42"/>
      <c r="P58" s="41">
        <f>SUMIFS(Journal!$D$4:$D$9968,Journal!$B$4:$B$9968,P$6,Journal!$C$4:$C$9968,$B57)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SUMIFS(Journal!$D$4:$D$9968,Journal!$B$4:$B$9968,D$6,Journal!$C$4:$C$9968,$B59)</f>
        <v>0</v>
      </c>
      <c r="E60" s="42"/>
      <c r="F60" s="41">
        <f>SUMIFS(Journal!$D$4:$D$9968,Journal!$B$4:$B$9968,F$6,Journal!$C$4:$C$9968,$B59)</f>
        <v>0</v>
      </c>
      <c r="G60" s="42"/>
      <c r="H60" s="41">
        <f>SUMIFS(Journal!$D$4:$D$9968,Journal!$B$4:$B$9968,H$6,Journal!$C$4:$C$9968,$B59)</f>
        <v>0</v>
      </c>
      <c r="I60" s="42"/>
      <c r="J60" s="41">
        <f>SUMIFS(Journal!$D$4:$D$9968,Journal!$B$4:$B$9968,J$6,Journal!$C$4:$C$9968,$B59)</f>
        <v>0</v>
      </c>
      <c r="K60" s="42"/>
      <c r="L60" s="41">
        <f>SUMIFS(Journal!$D$4:$D$9968,Journal!$B$4:$B$9968,L$6,Journal!$C$4:$C$9968,$B59)</f>
        <v>0</v>
      </c>
      <c r="M60" s="42"/>
      <c r="N60" s="41">
        <f>SUMIFS(Journal!$D$4:$D$9968,Journal!$B$4:$B$9968,N$6,Journal!$C$4:$C$9968,$B59)</f>
        <v>0</v>
      </c>
      <c r="O60" s="42"/>
      <c r="P60" s="41">
        <f>SUMIFS(Journal!$D$4:$D$9968,Journal!$B$4:$B$9968,P$6,Journal!$C$4:$C$9968,$B59)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SUMIFS(Journal!$D$4:$D$9968,Journal!$B$4:$B$9968,D$6,Journal!$C$4:$C$9968,$B61)</f>
        <v>0</v>
      </c>
      <c r="E62" s="42"/>
      <c r="F62" s="41">
        <f>SUMIFS(Journal!$D$4:$D$9968,Journal!$B$4:$B$9968,F$6,Journal!$C$4:$C$9968,$B61)</f>
        <v>0</v>
      </c>
      <c r="G62" s="42"/>
      <c r="H62" s="41">
        <f>SUMIFS(Journal!$D$4:$D$9968,Journal!$B$4:$B$9968,H$6,Journal!$C$4:$C$9968,$B61)</f>
        <v>0</v>
      </c>
      <c r="I62" s="42"/>
      <c r="J62" s="41">
        <f>SUMIFS(Journal!$D$4:$D$9968,Journal!$B$4:$B$9968,J$6,Journal!$C$4:$C$9968,$B61)</f>
        <v>0</v>
      </c>
      <c r="K62" s="42"/>
      <c r="L62" s="41">
        <f>SUMIFS(Journal!$D$4:$D$9968,Journal!$B$4:$B$9968,L$6,Journal!$C$4:$C$9968,$B61)</f>
        <v>0</v>
      </c>
      <c r="M62" s="42"/>
      <c r="N62" s="41">
        <f>SUMIFS(Journal!$D$4:$D$9968,Journal!$B$4:$B$9968,N$6,Journal!$C$4:$C$9968,$B61)</f>
        <v>0</v>
      </c>
      <c r="O62" s="42"/>
      <c r="P62" s="41">
        <f>SUMIFS(Journal!$D$4:$D$9968,Journal!$B$4:$B$9968,P$6,Journal!$C$4:$C$9968,$B61)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SUMIFS(Journal!$D$4:$D$9968,Journal!$B$4:$B$9968,D$6,Journal!$C$4:$C$9968,$B63)</f>
        <v>0</v>
      </c>
      <c r="E64" s="42"/>
      <c r="F64" s="41">
        <f>SUMIFS(Journal!$D$4:$D$9968,Journal!$B$4:$B$9968,F$6,Journal!$C$4:$C$9968,$B63)</f>
        <v>0</v>
      </c>
      <c r="G64" s="42"/>
      <c r="H64" s="41">
        <f>SUMIFS(Journal!$D$4:$D$9968,Journal!$B$4:$B$9968,H$6,Journal!$C$4:$C$9968,$B63)</f>
        <v>0</v>
      </c>
      <c r="I64" s="42"/>
      <c r="J64" s="41">
        <f>SUMIFS(Journal!$D$4:$D$9968,Journal!$B$4:$B$9968,J$6,Journal!$C$4:$C$9968,$B63)</f>
        <v>0</v>
      </c>
      <c r="K64" s="42"/>
      <c r="L64" s="41">
        <f>SUMIFS(Journal!$D$4:$D$9968,Journal!$B$4:$B$9968,L$6,Journal!$C$4:$C$9968,$B63)</f>
        <v>0</v>
      </c>
      <c r="M64" s="42"/>
      <c r="N64" s="41">
        <f>SUMIFS(Journal!$D$4:$D$9968,Journal!$B$4:$B$9968,N$6,Journal!$C$4:$C$9968,$B63)</f>
        <v>0</v>
      </c>
      <c r="O64" s="42"/>
      <c r="P64" s="41">
        <f>SUMIFS(Journal!$D$4:$D$9968,Journal!$B$4:$B$9968,P$6,Journal!$C$4:$C$9968,$B63)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SUMIFS(Journal!$D$4:$D$9968,Journal!$B$4:$B$9968,D$6,Journal!$C$4:$C$9968,$B65)</f>
        <v>0</v>
      </c>
      <c r="E66" s="42"/>
      <c r="F66" s="41">
        <f>SUMIFS(Journal!$D$4:$D$9968,Journal!$B$4:$B$9968,F$6,Journal!$C$4:$C$9968,$B65)</f>
        <v>0</v>
      </c>
      <c r="G66" s="42"/>
      <c r="H66" s="41">
        <f>SUMIFS(Journal!$D$4:$D$9968,Journal!$B$4:$B$9968,H$6,Journal!$C$4:$C$9968,$B65)</f>
        <v>0</v>
      </c>
      <c r="I66" s="42"/>
      <c r="J66" s="41">
        <f>SUMIFS(Journal!$D$4:$D$9968,Journal!$B$4:$B$9968,J$6,Journal!$C$4:$C$9968,$B65)</f>
        <v>0</v>
      </c>
      <c r="K66" s="42"/>
      <c r="L66" s="41">
        <f>SUMIFS(Journal!$D$4:$D$9968,Journal!$B$4:$B$9968,L$6,Journal!$C$4:$C$9968,$B65)</f>
        <v>0</v>
      </c>
      <c r="M66" s="42"/>
      <c r="N66" s="41">
        <f>SUMIFS(Journal!$D$4:$D$9968,Journal!$B$4:$B$9968,N$6,Journal!$C$4:$C$9968,$B65)</f>
        <v>0</v>
      </c>
      <c r="O66" s="42"/>
      <c r="P66" s="41">
        <f>SUMIFS(Journal!$D$4:$D$9968,Journal!$B$4:$B$9968,P$6,Journal!$C$4:$C$9968,$B65)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SUMIFS(Journal!$D$4:$D$9968,Journal!$B$4:$B$9968,D$6,Journal!$C$4:$C$9968,$B67)</f>
        <v>0</v>
      </c>
      <c r="E68" s="42"/>
      <c r="F68" s="41">
        <f>SUMIFS(Journal!$D$4:$D$9968,Journal!$B$4:$B$9968,F$6,Journal!$C$4:$C$9968,$B67)</f>
        <v>0</v>
      </c>
      <c r="G68" s="42"/>
      <c r="H68" s="41">
        <f>SUMIFS(Journal!$D$4:$D$9968,Journal!$B$4:$B$9968,H$6,Journal!$C$4:$C$9968,$B67)</f>
        <v>0</v>
      </c>
      <c r="I68" s="42"/>
      <c r="J68" s="41">
        <f>SUMIFS(Journal!$D$4:$D$9968,Journal!$B$4:$B$9968,J$6,Journal!$C$4:$C$9968,$B67)</f>
        <v>0</v>
      </c>
      <c r="K68" s="42"/>
      <c r="L68" s="41">
        <f>SUMIFS(Journal!$D$4:$D$9968,Journal!$B$4:$B$9968,L$6,Journal!$C$4:$C$9968,$B67)</f>
        <v>0</v>
      </c>
      <c r="M68" s="42"/>
      <c r="N68" s="41">
        <f>SUMIFS(Journal!$D$4:$D$9968,Journal!$B$4:$B$9968,N$6,Journal!$C$4:$C$9968,$B67)</f>
        <v>0</v>
      </c>
      <c r="O68" s="42"/>
      <c r="P68" s="41">
        <f>SUMIFS(Journal!$D$4:$D$9968,Journal!$B$4:$B$9968,P$6,Journal!$C$4:$C$9968,$B67)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0.30555555555555558</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SUMIFS(Journal!$D$4:$D$9968,Journal!$B$4:$B$9968,D$6,Journal!$C$4:$C$9968,$B71)</f>
        <v>0.13541666666666666</v>
      </c>
      <c r="E72" s="42"/>
      <c r="F72" s="41">
        <f>SUMIFS(Journal!$D$4:$D$9968,Journal!$B$4:$B$9968,F$6,Journal!$C$4:$C$9968,$B71)</f>
        <v>0</v>
      </c>
      <c r="G72" s="42"/>
      <c r="H72" s="41">
        <f>SUMIFS(Journal!$D$4:$D$9968,Journal!$B$4:$B$9968,H$6,Journal!$C$4:$C$9968,$B71)</f>
        <v>0</v>
      </c>
      <c r="I72" s="42"/>
      <c r="J72" s="41">
        <f>SUMIFS(Journal!$D$4:$D$9968,Journal!$B$4:$B$9968,J$6,Journal!$C$4:$C$9968,$B71)</f>
        <v>0</v>
      </c>
      <c r="K72" s="42"/>
      <c r="L72" s="41">
        <f>SUMIFS(Journal!$D$4:$D$9968,Journal!$B$4:$B$9968,L$6,Journal!$C$4:$C$9968,$B71)</f>
        <v>0</v>
      </c>
      <c r="M72" s="42"/>
      <c r="N72" s="41">
        <f>SUMIFS(Journal!$D$4:$D$9968,Journal!$B$4:$B$9968,N$6,Journal!$C$4:$C$9968,$B71)</f>
        <v>0</v>
      </c>
      <c r="O72" s="42"/>
      <c r="P72" s="41">
        <f>SUMIFS(Journal!$D$4:$D$9968,Journal!$B$4:$B$9968,P$6,Journal!$C$4:$C$9968,$B71)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SUMIFS(Journal!$D$4:$D$9968,Journal!$B$4:$B$9968,D$6,Journal!$C$4:$C$9968,$B73)</f>
        <v>8.3333333333333329E-2</v>
      </c>
      <c r="E74" s="42"/>
      <c r="F74" s="41">
        <f>SUMIFS(Journal!$D$4:$D$9968,Journal!$B$4:$B$9968,F$6,Journal!$C$4:$C$9968,$B73)</f>
        <v>6.25E-2</v>
      </c>
      <c r="G74" s="42"/>
      <c r="H74" s="41">
        <f>SUMIFS(Journal!$D$4:$D$9968,Journal!$B$4:$B$9968,H$6,Journal!$C$4:$C$9968,$B73)</f>
        <v>0</v>
      </c>
      <c r="I74" s="42"/>
      <c r="J74" s="41">
        <f>SUMIFS(Journal!$D$4:$D$9968,Journal!$B$4:$B$9968,J$6,Journal!$C$4:$C$9968,$B73)</f>
        <v>0</v>
      </c>
      <c r="K74" s="42"/>
      <c r="L74" s="41">
        <f>SUMIFS(Journal!$D$4:$D$9968,Journal!$B$4:$B$9968,L$6,Journal!$C$4:$C$9968,$B73)</f>
        <v>0</v>
      </c>
      <c r="M74" s="42"/>
      <c r="N74" s="41">
        <f>SUMIFS(Journal!$D$4:$D$9968,Journal!$B$4:$B$9968,N$6,Journal!$C$4:$C$9968,$B73)</f>
        <v>0</v>
      </c>
      <c r="O74" s="42"/>
      <c r="P74" s="41">
        <f>SUMIFS(Journal!$D$4:$D$9968,Journal!$B$4:$B$9968,P$6,Journal!$C$4:$C$9968,$B73)</f>
        <v>0</v>
      </c>
      <c r="Q74" s="43">
        <f t="shared" si="3"/>
        <v>0.14583333333333331</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SUMIFS(Journal!$D$4:$D$9968,Journal!$B$4:$B$9968,D$6,Journal!$C$4:$C$9968,$B75)</f>
        <v>1.0416666666666666E-2</v>
      </c>
      <c r="E76" s="42"/>
      <c r="F76" s="41">
        <f>SUMIFS(Journal!$D$4:$D$9968,Journal!$B$4:$B$9968,F$6,Journal!$C$4:$C$9968,$B75)</f>
        <v>1.3888888888888888E-2</v>
      </c>
      <c r="G76" s="42"/>
      <c r="H76" s="41">
        <f>SUMIFS(Journal!$D$4:$D$9968,Journal!$B$4:$B$9968,H$6,Journal!$C$4:$C$9968,$B75)</f>
        <v>0</v>
      </c>
      <c r="I76" s="42"/>
      <c r="J76" s="41">
        <f>SUMIFS(Journal!$D$4:$D$9968,Journal!$B$4:$B$9968,J$6,Journal!$C$4:$C$9968,$B75)</f>
        <v>0</v>
      </c>
      <c r="K76" s="42"/>
      <c r="L76" s="41">
        <f>SUMIFS(Journal!$D$4:$D$9968,Journal!$B$4:$B$9968,L$6,Journal!$C$4:$C$9968,$B75)</f>
        <v>0</v>
      </c>
      <c r="M76" s="42"/>
      <c r="N76" s="41">
        <f>SUMIFS(Journal!$D$4:$D$9968,Journal!$B$4:$B$9968,N$6,Journal!$C$4:$C$9968,$B75)</f>
        <v>0</v>
      </c>
      <c r="O76" s="42"/>
      <c r="P76" s="41">
        <f>SUMIFS(Journal!$D$4:$D$9968,Journal!$B$4:$B$9968,P$6,Journal!$C$4:$C$9968,$B75)</f>
        <v>0</v>
      </c>
      <c r="Q76" s="43">
        <f t="shared" si="3"/>
        <v>2.4305555555555552E-2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SUMIFS(Journal!$D$4:$D$9968,Journal!$B$4:$B$9968,D$6,Journal!$C$4:$C$9968,$B77)</f>
        <v>0</v>
      </c>
      <c r="E78" s="42"/>
      <c r="F78" s="41">
        <f>SUMIFS(Journal!$D$4:$D$9968,Journal!$B$4:$B$9968,F$6,Journal!$C$4:$C$9968,$B77)</f>
        <v>0</v>
      </c>
      <c r="G78" s="42"/>
      <c r="H78" s="41">
        <f>SUMIFS(Journal!$D$4:$D$9968,Journal!$B$4:$B$9968,H$6,Journal!$C$4:$C$9968,$B77)</f>
        <v>0</v>
      </c>
      <c r="I78" s="42"/>
      <c r="J78" s="41">
        <f>SUMIFS(Journal!$D$4:$D$9968,Journal!$B$4:$B$9968,J$6,Journal!$C$4:$C$9968,$B77)</f>
        <v>0</v>
      </c>
      <c r="K78" s="42"/>
      <c r="L78" s="41">
        <f>SUMIFS(Journal!$D$4:$D$9968,Journal!$B$4:$B$9968,L$6,Journal!$C$4:$C$9968,$B77)</f>
        <v>0</v>
      </c>
      <c r="M78" s="42"/>
      <c r="N78" s="41">
        <f>SUMIFS(Journal!$D$4:$D$9968,Journal!$B$4:$B$9968,N$6,Journal!$C$4:$C$9968,$B77)</f>
        <v>0</v>
      </c>
      <c r="O78" s="42"/>
      <c r="P78" s="41">
        <f>SUMIFS(Journal!$D$4:$D$9968,Journal!$B$4:$B$9968,P$6,Journal!$C$4:$C$9968,$B77)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SUMIFS(Journal!$D$4:$D$9968,Journal!$B$4:$B$9968,D$6,Journal!$C$4:$C$9968,$B79)</f>
        <v>0</v>
      </c>
      <c r="E80" s="42"/>
      <c r="F80" s="41">
        <f>SUMIFS(Journal!$D$4:$D$9968,Journal!$B$4:$B$9968,F$6,Journal!$C$4:$C$9968,$B79)</f>
        <v>0</v>
      </c>
      <c r="G80" s="42"/>
      <c r="H80" s="41">
        <f>SUMIFS(Journal!$D$4:$D$9968,Journal!$B$4:$B$9968,H$6,Journal!$C$4:$C$9968,$B79)</f>
        <v>0</v>
      </c>
      <c r="I80" s="42"/>
      <c r="J80" s="41">
        <f>SUMIFS(Journal!$D$4:$D$9968,Journal!$B$4:$B$9968,J$6,Journal!$C$4:$C$9968,$B79)</f>
        <v>0</v>
      </c>
      <c r="K80" s="42"/>
      <c r="L80" s="41">
        <f>SUMIFS(Journal!$D$4:$D$9968,Journal!$B$4:$B$9968,L$6,Journal!$C$4:$C$9968,$B79)</f>
        <v>0</v>
      </c>
      <c r="M80" s="42"/>
      <c r="N80" s="41">
        <f>SUMIFS(Journal!$D$4:$D$9968,Journal!$B$4:$B$9968,N$6,Journal!$C$4:$C$9968,$B79)</f>
        <v>0</v>
      </c>
      <c r="O80" s="42"/>
      <c r="P80" s="41">
        <f>SUMIFS(Journal!$D$4:$D$9968,Journal!$B$4:$B$9968,P$6,Journal!$C$4:$C$9968,$B79)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SUMIFS(Journal!$D$4:$D$9968,Journal!$B$4:$B$9968,D$6,Journal!$C$4:$C$9968,$B81)</f>
        <v>0</v>
      </c>
      <c r="E82" s="42"/>
      <c r="F82" s="41">
        <f>SUMIFS(Journal!$D$4:$D$9968,Journal!$B$4:$B$9968,F$6,Journal!$C$4:$C$9968,$B81)</f>
        <v>0</v>
      </c>
      <c r="G82" s="42"/>
      <c r="H82" s="41">
        <f>SUMIFS(Journal!$D$4:$D$9968,Journal!$B$4:$B$9968,H$6,Journal!$C$4:$C$9968,$B81)</f>
        <v>0</v>
      </c>
      <c r="I82" s="42"/>
      <c r="J82" s="41">
        <f>SUMIFS(Journal!$D$4:$D$9968,Journal!$B$4:$B$9968,J$6,Journal!$C$4:$C$9968,$B81)</f>
        <v>0</v>
      </c>
      <c r="K82" s="42"/>
      <c r="L82" s="41">
        <f>SUMIFS(Journal!$D$4:$D$9968,Journal!$B$4:$B$9968,L$6,Journal!$C$4:$C$9968,$B81)</f>
        <v>0</v>
      </c>
      <c r="M82" s="42"/>
      <c r="N82" s="41">
        <f>SUMIFS(Journal!$D$4:$D$9968,Journal!$B$4:$B$9968,N$6,Journal!$C$4:$C$9968,$B81)</f>
        <v>0</v>
      </c>
      <c r="O82" s="42"/>
      <c r="P82" s="41">
        <f>SUMIFS(Journal!$D$4:$D$9968,Journal!$B$4:$B$9968,P$6,Journal!$C$4:$C$9968,$B81)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SUMIFS(Journal!$D$4:$D$9968,Journal!$B$4:$B$9968,D$6,Journal!$C$4:$C$9968,$B83)</f>
        <v>0</v>
      </c>
      <c r="E84" s="42"/>
      <c r="F84" s="41">
        <f>SUMIFS(Journal!$D$4:$D$9968,Journal!$B$4:$B$9968,F$6,Journal!$C$4:$C$9968,$B83)</f>
        <v>0</v>
      </c>
      <c r="G84" s="42"/>
      <c r="H84" s="41">
        <f>SUMIFS(Journal!$D$4:$D$9968,Journal!$B$4:$B$9968,H$6,Journal!$C$4:$C$9968,$B83)</f>
        <v>0</v>
      </c>
      <c r="I84" s="42"/>
      <c r="J84" s="41">
        <f>SUMIFS(Journal!$D$4:$D$9968,Journal!$B$4:$B$9968,J$6,Journal!$C$4:$C$9968,$B83)</f>
        <v>0</v>
      </c>
      <c r="K84" s="42"/>
      <c r="L84" s="41">
        <f>SUMIFS(Journal!$D$4:$D$9968,Journal!$B$4:$B$9968,L$6,Journal!$C$4:$C$9968,$B83)</f>
        <v>0</v>
      </c>
      <c r="M84" s="42"/>
      <c r="N84" s="41">
        <f>SUMIFS(Journal!$D$4:$D$9968,Journal!$B$4:$B$9968,N$6,Journal!$C$4:$C$9968,$B83)</f>
        <v>0</v>
      </c>
      <c r="O84" s="42"/>
      <c r="P84" s="41">
        <f>SUMIFS(Journal!$D$4:$D$9968,Journal!$B$4:$B$9968,P$6,Journal!$C$4:$C$9968,$B83)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SUMIFS(Journal!$D$4:$D$9968,Journal!$B$4:$B$9968,D$6,Journal!$C$4:$C$9968,$B85)</f>
        <v>0</v>
      </c>
      <c r="E86" s="42"/>
      <c r="F86" s="41">
        <f>SUMIFS(Journal!$D$4:$D$9968,Journal!$B$4:$B$9968,F$6,Journal!$C$4:$C$9968,$B85)</f>
        <v>0</v>
      </c>
      <c r="G86" s="42"/>
      <c r="H86" s="41">
        <f>SUMIFS(Journal!$D$4:$D$9968,Journal!$B$4:$B$9968,H$6,Journal!$C$4:$C$9968,$B85)</f>
        <v>0</v>
      </c>
      <c r="I86" s="42"/>
      <c r="J86" s="41">
        <f>SUMIFS(Journal!$D$4:$D$9968,Journal!$B$4:$B$9968,J$6,Journal!$C$4:$C$9968,$B85)</f>
        <v>0</v>
      </c>
      <c r="K86" s="42"/>
      <c r="L86" s="41">
        <f>SUMIFS(Journal!$D$4:$D$9968,Journal!$B$4:$B$9968,L$6,Journal!$C$4:$C$9968,$B85)</f>
        <v>0</v>
      </c>
      <c r="M86" s="42"/>
      <c r="N86" s="41">
        <f>SUMIFS(Journal!$D$4:$D$9968,Journal!$B$4:$B$9968,N$6,Journal!$C$4:$C$9968,$B85)</f>
        <v>0</v>
      </c>
      <c r="O86" s="42"/>
      <c r="P86" s="41">
        <f>SUMIFS(Journal!$D$4:$D$9968,Journal!$B$4:$B$9968,P$6,Journal!$C$4:$C$9968,$B85)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SUMIFS(Journal!$D$4:$D$9968,Journal!$B$4:$B$9968,D$6,Journal!$C$4:$C$9968,$B87)</f>
        <v>0</v>
      </c>
      <c r="E88" s="77"/>
      <c r="F88" s="76">
        <f>SUMIFS(Journal!$D$4:$D$9968,Journal!$B$4:$B$9968,F$6,Journal!$C$4:$C$9968,$B87)</f>
        <v>0</v>
      </c>
      <c r="G88" s="77"/>
      <c r="H88" s="76">
        <f>SUMIFS(Journal!$D$4:$D$9968,Journal!$B$4:$B$9968,H$6,Journal!$C$4:$C$9968,$B87)</f>
        <v>0</v>
      </c>
      <c r="I88" s="77"/>
      <c r="J88" s="76">
        <f>SUMIFS(Journal!$D$4:$D$9968,Journal!$B$4:$B$9968,J$6,Journal!$C$4:$C$9968,$B87)</f>
        <v>0</v>
      </c>
      <c r="K88" s="77"/>
      <c r="L88" s="76">
        <f>SUMIFS(Journal!$D$4:$D$9968,Journal!$B$4:$B$9968,L$6,Journal!$C$4:$C$9968,$B87)</f>
        <v>0</v>
      </c>
      <c r="M88" s="77"/>
      <c r="N88" s="76">
        <f>SUMIFS(Journal!$D$4:$D$9968,Journal!$B$4:$B$9968,N$6,Journal!$C$4:$C$9968,$B87)</f>
        <v>0</v>
      </c>
      <c r="O88" s="77"/>
      <c r="P88" s="76">
        <f>SUMIFS(Journal!$D$4:$D$9968,Journal!$B$4:$B$9968,P$6,Journal!$C$4:$C$9968,$B87)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0.10069444444444443</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SUMIFS(Journal!$D$4:$D$9968,Journal!$B$4:$B$9968,D$6,Journal!$C$4:$C$9968,$B91)</f>
        <v>2.0833333333333332E-2</v>
      </c>
      <c r="E92" s="42"/>
      <c r="F92" s="41">
        <f>SUMIFS(Journal!$D$4:$D$9968,Journal!$B$4:$B$9968,F$6,Journal!$C$4:$C$9968,$B91)</f>
        <v>0</v>
      </c>
      <c r="G92" s="42"/>
      <c r="H92" s="41">
        <f>SUMIFS(Journal!$D$4:$D$9968,Journal!$B$4:$B$9968,H$6,Journal!$C$4:$C$9968,$B91)</f>
        <v>0</v>
      </c>
      <c r="I92" s="42"/>
      <c r="J92" s="41">
        <f>SUMIFS(Journal!$D$4:$D$9968,Journal!$B$4:$B$9968,J$6,Journal!$C$4:$C$9968,$B91)</f>
        <v>0</v>
      </c>
      <c r="K92" s="42"/>
      <c r="L92" s="41">
        <f>SUMIFS(Journal!$D$4:$D$9968,Journal!$B$4:$B$9968,L$6,Journal!$C$4:$C$9968,$B91)</f>
        <v>0</v>
      </c>
      <c r="M92" s="42"/>
      <c r="N92" s="41">
        <f>SUMIFS(Journal!$D$4:$D$9968,Journal!$B$4:$B$9968,N$6,Journal!$C$4:$C$9968,$B91)</f>
        <v>0</v>
      </c>
      <c r="O92" s="42"/>
      <c r="P92" s="41">
        <f>SUMIFS(Journal!$D$4:$D$9968,Journal!$B$4:$B$9968,P$6,Journal!$C$4:$C$9968,$B91)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SUMIFS(Journal!$D$4:$D$9968,Journal!$B$4:$B$9968,D$6,Journal!$C$4:$C$9968,$B93)</f>
        <v>0</v>
      </c>
      <c r="E94" s="42"/>
      <c r="F94" s="41">
        <f>SUMIFS(Journal!$D$4:$D$9968,Journal!$B$4:$B$9968,F$6,Journal!$C$4:$C$9968,$B93)</f>
        <v>5.9027777777777776E-2</v>
      </c>
      <c r="G94" s="42"/>
      <c r="H94" s="41">
        <f>SUMIFS(Journal!$D$4:$D$9968,Journal!$B$4:$B$9968,H$6,Journal!$C$4:$C$9968,$B93)</f>
        <v>2.0833333333333332E-2</v>
      </c>
      <c r="I94" s="42"/>
      <c r="J94" s="41">
        <f>SUMIFS(Journal!$D$4:$D$9968,Journal!$B$4:$B$9968,J$6,Journal!$C$4:$C$9968,$B93)</f>
        <v>0</v>
      </c>
      <c r="K94" s="42"/>
      <c r="L94" s="41">
        <f>SUMIFS(Journal!$D$4:$D$9968,Journal!$B$4:$B$9968,L$6,Journal!$C$4:$C$9968,$B93)</f>
        <v>0</v>
      </c>
      <c r="M94" s="42"/>
      <c r="N94" s="41">
        <f>SUMIFS(Journal!$D$4:$D$9968,Journal!$B$4:$B$9968,N$6,Journal!$C$4:$C$9968,$B93)</f>
        <v>0</v>
      </c>
      <c r="O94" s="42"/>
      <c r="P94" s="41">
        <f>SUMIFS(Journal!$D$4:$D$9968,Journal!$B$4:$B$9968,P$6,Journal!$C$4:$C$9968,$B93)</f>
        <v>0</v>
      </c>
      <c r="Q94" s="43">
        <f t="shared" si="4"/>
        <v>7.9861111111111105E-2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SUMIFS(Journal!$D$4:$D$9968,Journal!$B$4:$B$9968,D$6,Journal!$C$4:$C$9968,$B95)</f>
        <v>0</v>
      </c>
      <c r="E96" s="42"/>
      <c r="F96" s="41">
        <f>SUMIFS(Journal!$D$4:$D$9968,Journal!$B$4:$B$9968,F$6,Journal!$C$4:$C$9968,$B95)</f>
        <v>0</v>
      </c>
      <c r="G96" s="42"/>
      <c r="H96" s="41">
        <f>SUMIFS(Journal!$D$4:$D$9968,Journal!$B$4:$B$9968,H$6,Journal!$C$4:$C$9968,$B95)</f>
        <v>0</v>
      </c>
      <c r="I96" s="42"/>
      <c r="J96" s="41">
        <f>SUMIFS(Journal!$D$4:$D$9968,Journal!$B$4:$B$9968,J$6,Journal!$C$4:$C$9968,$B95)</f>
        <v>0</v>
      </c>
      <c r="K96" s="42"/>
      <c r="L96" s="41">
        <f>SUMIFS(Journal!$D$4:$D$9968,Journal!$B$4:$B$9968,L$6,Journal!$C$4:$C$9968,$B95)</f>
        <v>0</v>
      </c>
      <c r="M96" s="42"/>
      <c r="N96" s="41">
        <f>SUMIFS(Journal!$D$4:$D$9968,Journal!$B$4:$B$9968,N$6,Journal!$C$4:$C$9968,$B95)</f>
        <v>0</v>
      </c>
      <c r="O96" s="42"/>
      <c r="P96" s="41">
        <f>SUMIFS(Journal!$D$4:$D$9968,Journal!$B$4:$B$9968,P$6,Journal!$C$4:$C$9968,$B95)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SUMIFS(Journal!$D$4:$D$9968,Journal!$B$4:$B$9968,D$6,Journal!$C$4:$C$9968,$B97)</f>
        <v>0</v>
      </c>
      <c r="E98" s="42"/>
      <c r="F98" s="41">
        <f>SUMIFS(Journal!$D$4:$D$9968,Journal!$B$4:$B$9968,F$6,Journal!$C$4:$C$9968,$B97)</f>
        <v>0</v>
      </c>
      <c r="G98" s="42"/>
      <c r="H98" s="41">
        <f>SUMIFS(Journal!$D$4:$D$9968,Journal!$B$4:$B$9968,H$6,Journal!$C$4:$C$9968,$B97)</f>
        <v>0</v>
      </c>
      <c r="I98" s="42"/>
      <c r="J98" s="41">
        <f>SUMIFS(Journal!$D$4:$D$9968,Journal!$B$4:$B$9968,J$6,Journal!$C$4:$C$9968,$B97)</f>
        <v>0</v>
      </c>
      <c r="K98" s="42"/>
      <c r="L98" s="41">
        <f>SUMIFS(Journal!$D$4:$D$9968,Journal!$B$4:$B$9968,L$6,Journal!$C$4:$C$9968,$B97)</f>
        <v>0</v>
      </c>
      <c r="M98" s="42"/>
      <c r="N98" s="41">
        <f>SUMIFS(Journal!$D$4:$D$9968,Journal!$B$4:$B$9968,N$6,Journal!$C$4:$C$9968,$B97)</f>
        <v>0</v>
      </c>
      <c r="O98" s="42"/>
      <c r="P98" s="41">
        <f>SUMIFS(Journal!$D$4:$D$9968,Journal!$B$4:$B$9968,P$6,Journal!$C$4:$C$9968,$B97)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SUMIFS(Journal!$D$4:$D$9968,Journal!$B$4:$B$9968,D$6,Journal!$C$4:$C$9968,$B99)</f>
        <v>0</v>
      </c>
      <c r="E100" s="42"/>
      <c r="F100" s="41">
        <f>SUMIFS(Journal!$D$4:$D$9968,Journal!$B$4:$B$9968,F$6,Journal!$C$4:$C$9968,$B99)</f>
        <v>0</v>
      </c>
      <c r="G100" s="42"/>
      <c r="H100" s="41">
        <f>SUMIFS(Journal!$D$4:$D$9968,Journal!$B$4:$B$9968,H$6,Journal!$C$4:$C$9968,$B99)</f>
        <v>0</v>
      </c>
      <c r="I100" s="42"/>
      <c r="J100" s="41">
        <f>SUMIFS(Journal!$D$4:$D$9968,Journal!$B$4:$B$9968,J$6,Journal!$C$4:$C$9968,$B99)</f>
        <v>0</v>
      </c>
      <c r="K100" s="42"/>
      <c r="L100" s="41">
        <f>SUMIFS(Journal!$D$4:$D$9968,Journal!$B$4:$B$9968,L$6,Journal!$C$4:$C$9968,$B99)</f>
        <v>0</v>
      </c>
      <c r="M100" s="42"/>
      <c r="N100" s="41">
        <f>SUMIFS(Journal!$D$4:$D$9968,Journal!$B$4:$B$9968,N$6,Journal!$C$4:$C$9968,$B99)</f>
        <v>0</v>
      </c>
      <c r="O100" s="42"/>
      <c r="P100" s="41">
        <f>SUMIFS(Journal!$D$4:$D$9968,Journal!$B$4:$B$9968,P$6,Journal!$C$4:$C$9968,$B99)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SUMIFS(Journal!$D$4:$D$9968,Journal!$B$4:$B$9968,D$6,Journal!$C$4:$C$9968,$B101)</f>
        <v>0</v>
      </c>
      <c r="E102" s="42"/>
      <c r="F102" s="41">
        <f>SUMIFS(Journal!$D$4:$D$9968,Journal!$B$4:$B$9968,F$6,Journal!$C$4:$C$9968,$B101)</f>
        <v>0</v>
      </c>
      <c r="G102" s="42"/>
      <c r="H102" s="41">
        <f>SUMIFS(Journal!$D$4:$D$9968,Journal!$B$4:$B$9968,H$6,Journal!$C$4:$C$9968,$B101)</f>
        <v>0</v>
      </c>
      <c r="I102" s="42"/>
      <c r="J102" s="41">
        <f>SUMIFS(Journal!$D$4:$D$9968,Journal!$B$4:$B$9968,J$6,Journal!$C$4:$C$9968,$B101)</f>
        <v>0</v>
      </c>
      <c r="K102" s="42"/>
      <c r="L102" s="41">
        <f>SUMIFS(Journal!$D$4:$D$9968,Journal!$B$4:$B$9968,L$6,Journal!$C$4:$C$9968,$B101)</f>
        <v>0</v>
      </c>
      <c r="M102" s="42"/>
      <c r="N102" s="41">
        <f>SUMIFS(Journal!$D$4:$D$9968,Journal!$B$4:$B$9968,N$6,Journal!$C$4:$C$9968,$B101)</f>
        <v>0</v>
      </c>
      <c r="O102" s="42"/>
      <c r="P102" s="41">
        <f>SUMIFS(Journal!$D$4:$D$9968,Journal!$B$4:$B$9968,P$6,Journal!$C$4:$C$9968,$B101)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SUMIFS(Journal!$D$4:$D$9968,Journal!$B$4:$B$9968,D$6,Journal!$C$4:$C$9968,$B103)</f>
        <v>0</v>
      </c>
      <c r="E104" s="42"/>
      <c r="F104" s="41">
        <f>SUMIFS(Journal!$D$4:$D$9968,Journal!$B$4:$B$9968,F$6,Journal!$C$4:$C$9968,$B103)</f>
        <v>0</v>
      </c>
      <c r="G104" s="42"/>
      <c r="H104" s="41">
        <f>SUMIFS(Journal!$D$4:$D$9968,Journal!$B$4:$B$9968,H$6,Journal!$C$4:$C$9968,$B103)</f>
        <v>0</v>
      </c>
      <c r="I104" s="42"/>
      <c r="J104" s="41">
        <f>SUMIFS(Journal!$D$4:$D$9968,Journal!$B$4:$B$9968,J$6,Journal!$C$4:$C$9968,$B103)</f>
        <v>0</v>
      </c>
      <c r="K104" s="42"/>
      <c r="L104" s="41">
        <f>SUMIFS(Journal!$D$4:$D$9968,Journal!$B$4:$B$9968,L$6,Journal!$C$4:$C$9968,$B103)</f>
        <v>0</v>
      </c>
      <c r="M104" s="42"/>
      <c r="N104" s="41">
        <f>SUMIFS(Journal!$D$4:$D$9968,Journal!$B$4:$B$9968,N$6,Journal!$C$4:$C$9968,$B103)</f>
        <v>0</v>
      </c>
      <c r="O104" s="42"/>
      <c r="P104" s="41">
        <f>SUMIFS(Journal!$D$4:$D$9968,Journal!$B$4:$B$9968,P$6,Journal!$C$4:$C$9968,$B103)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SUMIFS(Journal!$D$4:$D$9968,Journal!$B$4:$B$9968,D$6,Journal!$C$4:$C$9968,$B105)</f>
        <v>0</v>
      </c>
      <c r="E106" s="42"/>
      <c r="F106" s="41">
        <f>SUMIFS(Journal!$D$4:$D$9968,Journal!$B$4:$B$9968,F$6,Journal!$C$4:$C$9968,$B105)</f>
        <v>0</v>
      </c>
      <c r="G106" s="42"/>
      <c r="H106" s="41">
        <f>SUMIFS(Journal!$D$4:$D$9968,Journal!$B$4:$B$9968,H$6,Journal!$C$4:$C$9968,$B105)</f>
        <v>0</v>
      </c>
      <c r="I106" s="42"/>
      <c r="J106" s="41">
        <f>SUMIFS(Journal!$D$4:$D$9968,Journal!$B$4:$B$9968,J$6,Journal!$C$4:$C$9968,$B105)</f>
        <v>0</v>
      </c>
      <c r="K106" s="42"/>
      <c r="L106" s="41">
        <f>SUMIFS(Journal!$D$4:$D$9968,Journal!$B$4:$B$9968,L$6,Journal!$C$4:$C$9968,$B105)</f>
        <v>0</v>
      </c>
      <c r="M106" s="42"/>
      <c r="N106" s="41">
        <f>SUMIFS(Journal!$D$4:$D$9968,Journal!$B$4:$B$9968,N$6,Journal!$C$4:$C$9968,$B105)</f>
        <v>0</v>
      </c>
      <c r="O106" s="42"/>
      <c r="P106" s="41">
        <f>SUMIFS(Journal!$D$4:$D$9968,Journal!$B$4:$B$9968,P$6,Journal!$C$4:$C$9968,$B105)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SUMIFS(Journal!$D$4:$D$9968,Journal!$B$4:$B$9968,D$6,Journal!$C$4:$C$9968,$B107)</f>
        <v>0</v>
      </c>
      <c r="E108" s="77"/>
      <c r="F108" s="76">
        <f>SUMIFS(Journal!$D$4:$D$9968,Journal!$B$4:$B$9968,F$6,Journal!$C$4:$C$9968,$B107)</f>
        <v>0</v>
      </c>
      <c r="G108" s="77"/>
      <c r="H108" s="76">
        <f>SUMIFS(Journal!$D$4:$D$9968,Journal!$B$4:$B$9968,H$6,Journal!$C$4:$C$9968,$B107)</f>
        <v>0</v>
      </c>
      <c r="I108" s="77"/>
      <c r="J108" s="76">
        <f>SUMIFS(Journal!$D$4:$D$9968,Journal!$B$4:$B$9968,J$6,Journal!$C$4:$C$9968,$B107)</f>
        <v>0</v>
      </c>
      <c r="K108" s="77"/>
      <c r="L108" s="76">
        <f>SUMIFS(Journal!$D$4:$D$9968,Journal!$B$4:$B$9968,L$6,Journal!$C$4:$C$9968,$B107)</f>
        <v>0</v>
      </c>
      <c r="M108" s="77"/>
      <c r="N108" s="76">
        <f>SUMIFS(Journal!$D$4:$D$9968,Journal!$B$4:$B$9968,N$6,Journal!$C$4:$C$9968,$B107)</f>
        <v>0</v>
      </c>
      <c r="O108" s="77"/>
      <c r="P108" s="76">
        <f>SUMIFS(Journal!$D$4:$D$9968,Journal!$B$4:$B$9968,P$6,Journal!$C$4:$C$9968,$B107)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8"/>
  <sheetViews>
    <sheetView tabSelected="1" zoomScale="90" zoomScaleNormal="90" workbookViewId="0">
      <selection activeCell="A2" sqref="A2:F34"/>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7" si="0">WEEKNUM(A5,1)</f>
        <v>18</v>
      </c>
      <c r="C5" s="68" t="s">
        <v>70</v>
      </c>
      <c r="D5" s="69">
        <v>0.13541666666666666</v>
      </c>
      <c r="E5" s="79" t="s">
        <v>45</v>
      </c>
      <c r="F5" s="70"/>
    </row>
    <row r="6" spans="1:6" ht="30" x14ac:dyDescent="0.25">
      <c r="A6" s="66">
        <v>45048</v>
      </c>
      <c r="B6" s="67">
        <f t="shared" si="0"/>
        <v>18</v>
      </c>
      <c r="C6" s="68" t="s">
        <v>67</v>
      </c>
      <c r="D6" s="69">
        <v>6.25E-2</v>
      </c>
      <c r="E6" s="79" t="s">
        <v>73</v>
      </c>
      <c r="F6" s="70"/>
    </row>
    <row r="7" spans="1:6" ht="30" x14ac:dyDescent="0.25">
      <c r="A7" s="66">
        <v>45048</v>
      </c>
      <c r="B7" s="67">
        <f t="shared" si="0"/>
        <v>18</v>
      </c>
      <c r="C7" s="68" t="s">
        <v>68</v>
      </c>
      <c r="D7" s="69">
        <v>6.25E-2</v>
      </c>
      <c r="E7" s="79" t="s">
        <v>74</v>
      </c>
      <c r="F7" s="70" t="s">
        <v>76</v>
      </c>
    </row>
    <row r="8" spans="1:6" x14ac:dyDescent="0.25">
      <c r="A8" s="66">
        <v>45049</v>
      </c>
      <c r="B8" s="67">
        <f t="shared" si="0"/>
        <v>18</v>
      </c>
      <c r="C8" s="68" t="s">
        <v>50</v>
      </c>
      <c r="D8" s="69">
        <v>6.25E-2</v>
      </c>
      <c r="E8" s="79" t="s">
        <v>75</v>
      </c>
      <c r="F8" s="70"/>
    </row>
    <row r="9" spans="1:6" x14ac:dyDescent="0.25">
      <c r="A9" s="66">
        <v>45049</v>
      </c>
      <c r="B9" s="67">
        <f t="shared" si="0"/>
        <v>18</v>
      </c>
      <c r="C9" s="68" t="s">
        <v>54</v>
      </c>
      <c r="D9" s="69">
        <v>6.25E-2</v>
      </c>
      <c r="E9" s="79" t="s">
        <v>77</v>
      </c>
      <c r="F9" s="70"/>
    </row>
    <row r="10" spans="1:6" x14ac:dyDescent="0.25">
      <c r="A10" s="66">
        <v>45049</v>
      </c>
      <c r="B10" s="67">
        <f t="shared" si="0"/>
        <v>18</v>
      </c>
      <c r="C10" s="68" t="s">
        <v>53</v>
      </c>
      <c r="D10" s="69">
        <v>3.125E-2</v>
      </c>
      <c r="E10" s="79" t="s">
        <v>78</v>
      </c>
      <c r="F10" s="70" t="s">
        <v>80</v>
      </c>
    </row>
    <row r="11" spans="1:6" x14ac:dyDescent="0.25">
      <c r="A11" s="66">
        <v>45050</v>
      </c>
      <c r="B11" s="67">
        <f t="shared" si="0"/>
        <v>18</v>
      </c>
      <c r="C11" s="68" t="s">
        <v>53</v>
      </c>
      <c r="D11" s="69">
        <v>6.25E-2</v>
      </c>
      <c r="E11" s="79" t="s">
        <v>79</v>
      </c>
      <c r="F11" s="70"/>
    </row>
    <row r="12" spans="1:6" ht="30" x14ac:dyDescent="0.25">
      <c r="A12" s="66">
        <v>45050</v>
      </c>
      <c r="B12" s="67">
        <f t="shared" si="0"/>
        <v>18</v>
      </c>
      <c r="C12" s="68" t="s">
        <v>28</v>
      </c>
      <c r="D12" s="69">
        <v>8.3333333333333329E-2</v>
      </c>
      <c r="E12" s="79" t="s">
        <v>81</v>
      </c>
      <c r="F12" s="70"/>
    </row>
    <row r="13" spans="1:6" ht="30" x14ac:dyDescent="0.25">
      <c r="A13" s="66">
        <v>45050</v>
      </c>
      <c r="B13" s="67">
        <f t="shared" si="0"/>
        <v>18</v>
      </c>
      <c r="C13" s="68" t="s">
        <v>51</v>
      </c>
      <c r="D13" s="69">
        <v>4.1666666666666664E-2</v>
      </c>
      <c r="E13" s="79" t="s">
        <v>84</v>
      </c>
      <c r="F13" s="70" t="s">
        <v>85</v>
      </c>
    </row>
    <row r="14" spans="1:6" x14ac:dyDescent="0.25">
      <c r="A14" s="66">
        <v>45050</v>
      </c>
      <c r="B14" s="67">
        <f t="shared" si="0"/>
        <v>18</v>
      </c>
      <c r="C14" s="68" t="s">
        <v>52</v>
      </c>
      <c r="D14" s="69">
        <v>8.3333333333333329E-2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2.0833333333333332E-2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2.0833333333333332E-2</v>
      </c>
      <c r="E19" s="79" t="s">
        <v>91</v>
      </c>
      <c r="F19" s="70"/>
    </row>
    <row r="20" spans="1:6" ht="60" x14ac:dyDescent="0.25">
      <c r="A20" s="66">
        <v>45054</v>
      </c>
      <c r="B20" s="67">
        <f t="shared" si="0"/>
        <v>19</v>
      </c>
      <c r="C20" s="68" t="s">
        <v>22</v>
      </c>
      <c r="D20" s="69">
        <v>4.1666666666666664E-2</v>
      </c>
      <c r="E20" s="79" t="s">
        <v>92</v>
      </c>
      <c r="F20" s="70" t="s">
        <v>93</v>
      </c>
    </row>
    <row r="21" spans="1:6" x14ac:dyDescent="0.25">
      <c r="A21" s="66">
        <v>45054</v>
      </c>
      <c r="B21" s="67">
        <f t="shared" si="0"/>
        <v>19</v>
      </c>
      <c r="C21" s="68" t="s">
        <v>66</v>
      </c>
      <c r="D21" s="69">
        <v>8.3333333333333329E-2</v>
      </c>
      <c r="E21" s="79" t="s">
        <v>94</v>
      </c>
      <c r="F21" s="70" t="s">
        <v>95</v>
      </c>
    </row>
    <row r="22" spans="1:6" x14ac:dyDescent="0.25">
      <c r="A22" s="66">
        <v>45055</v>
      </c>
      <c r="B22" s="67">
        <f t="shared" si="0"/>
        <v>19</v>
      </c>
      <c r="C22" s="68" t="s">
        <v>58</v>
      </c>
      <c r="D22" s="69">
        <v>0.15625</v>
      </c>
      <c r="E22" s="79" t="s">
        <v>96</v>
      </c>
      <c r="F22" s="70" t="s">
        <v>97</v>
      </c>
    </row>
    <row r="23" spans="1:6" x14ac:dyDescent="0.25">
      <c r="A23" s="66">
        <v>45055</v>
      </c>
      <c r="B23" s="67">
        <f t="shared" si="0"/>
        <v>19</v>
      </c>
      <c r="C23" s="68" t="s">
        <v>66</v>
      </c>
      <c r="D23" s="69">
        <v>9.375E-2</v>
      </c>
      <c r="E23" s="79" t="s">
        <v>98</v>
      </c>
      <c r="F23" s="70"/>
    </row>
    <row r="24" spans="1:6" ht="30" x14ac:dyDescent="0.25">
      <c r="A24" s="66">
        <v>45055</v>
      </c>
      <c r="B24" s="67">
        <f t="shared" si="0"/>
        <v>19</v>
      </c>
      <c r="C24" s="68" t="s">
        <v>88</v>
      </c>
      <c r="D24" s="69">
        <v>2.7777777777777776E-2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0.15625</v>
      </c>
      <c r="E26" s="79" t="s">
        <v>101</v>
      </c>
      <c r="F26" s="70"/>
    </row>
    <row r="27" spans="1:6" x14ac:dyDescent="0.25">
      <c r="A27" s="66">
        <v>45057</v>
      </c>
      <c r="B27" s="67">
        <f t="shared" si="0"/>
        <v>19</v>
      </c>
      <c r="C27" s="68" t="s">
        <v>57</v>
      </c>
      <c r="D27" s="69">
        <v>0.20833333333333334</v>
      </c>
      <c r="E27" s="79" t="s">
        <v>102</v>
      </c>
      <c r="F27" s="70" t="s">
        <v>103</v>
      </c>
    </row>
    <row r="28" spans="1:6" x14ac:dyDescent="0.25">
      <c r="A28" s="66">
        <v>45057</v>
      </c>
      <c r="B28" s="67">
        <f t="shared" si="0"/>
        <v>19</v>
      </c>
      <c r="C28" s="68" t="s">
        <v>28</v>
      </c>
      <c r="D28" s="69">
        <v>6.25E-2</v>
      </c>
      <c r="E28" s="79" t="s">
        <v>104</v>
      </c>
      <c r="F28" s="70"/>
    </row>
    <row r="29" spans="1:6" x14ac:dyDescent="0.25">
      <c r="A29" s="66">
        <v>45057</v>
      </c>
      <c r="B29" s="67">
        <f t="shared" si="0"/>
        <v>19</v>
      </c>
      <c r="C29" s="68" t="s">
        <v>71</v>
      </c>
      <c r="D29" s="69">
        <v>1.0416666666666666E-2</v>
      </c>
      <c r="E29" s="79" t="s">
        <v>105</v>
      </c>
      <c r="F29" s="70"/>
    </row>
    <row r="30" spans="1:6" x14ac:dyDescent="0.25">
      <c r="A30" s="66">
        <v>45061</v>
      </c>
      <c r="B30" s="67">
        <f t="shared" si="0"/>
        <v>20</v>
      </c>
      <c r="C30" s="68" t="s">
        <v>57</v>
      </c>
      <c r="D30" s="69">
        <v>0.21875</v>
      </c>
      <c r="E30" s="79" t="s">
        <v>106</v>
      </c>
      <c r="F30" s="70"/>
    </row>
    <row r="31" spans="1:6" x14ac:dyDescent="0.25">
      <c r="A31" s="66">
        <v>45062</v>
      </c>
      <c r="B31" s="67">
        <f t="shared" si="0"/>
        <v>20</v>
      </c>
      <c r="C31" s="68" t="s">
        <v>55</v>
      </c>
      <c r="D31" s="69">
        <v>0.1875</v>
      </c>
      <c r="E31" s="79" t="s">
        <v>110</v>
      </c>
      <c r="F31" s="70"/>
    </row>
    <row r="32" spans="1:6" x14ac:dyDescent="0.25">
      <c r="A32" s="66">
        <v>45062</v>
      </c>
      <c r="B32" s="67">
        <f t="shared" si="0"/>
        <v>20</v>
      </c>
      <c r="C32" s="68" t="s">
        <v>88</v>
      </c>
      <c r="D32" s="69">
        <v>2.0833333333333332E-2</v>
      </c>
      <c r="E32" s="79" t="s">
        <v>109</v>
      </c>
      <c r="F32" s="70"/>
    </row>
    <row r="33" spans="1:6" ht="30" x14ac:dyDescent="0.25">
      <c r="A33" s="66">
        <v>45062</v>
      </c>
      <c r="B33" s="67">
        <f t="shared" si="0"/>
        <v>20</v>
      </c>
      <c r="C33" s="68" t="s">
        <v>55</v>
      </c>
      <c r="D33" s="69">
        <v>7.2916666666666671E-2</v>
      </c>
      <c r="E33" s="79" t="s">
        <v>107</v>
      </c>
      <c r="F33" s="70" t="s">
        <v>108</v>
      </c>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ref="B38:B101" si="1">WEEKNUM(A38,1)</f>
        <v>0</v>
      </c>
      <c r="C38" s="68"/>
      <c r="D38" s="69"/>
      <c r="E38" s="79"/>
      <c r="F38" s="70"/>
    </row>
    <row r="39" spans="1:6" x14ac:dyDescent="0.25">
      <c r="A39" s="66"/>
      <c r="B39" s="67">
        <f t="shared" si="1"/>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ref="B102:B165" si="2">WEEKNUM(A102,1)</f>
        <v>0</v>
      </c>
      <c r="C102" s="68"/>
      <c r="D102" s="69"/>
      <c r="E102" s="79"/>
      <c r="F102" s="70"/>
    </row>
    <row r="103" spans="1:6" x14ac:dyDescent="0.25">
      <c r="A103" s="66"/>
      <c r="B103" s="67">
        <f t="shared" si="2"/>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ref="B166:B229" si="3">WEEKNUM(A166,1)</f>
        <v>0</v>
      </c>
      <c r="C166" s="68"/>
      <c r="D166" s="69"/>
      <c r="E166" s="79"/>
      <c r="F166" s="70"/>
    </row>
    <row r="167" spans="1:6" x14ac:dyDescent="0.25">
      <c r="A167" s="66"/>
      <c r="B167" s="67">
        <f t="shared" si="3"/>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ref="B230:B293" si="4">WEEKNUM(A230,1)</f>
        <v>0</v>
      </c>
      <c r="C230" s="68"/>
      <c r="D230" s="69"/>
      <c r="E230" s="79"/>
      <c r="F230" s="70"/>
    </row>
    <row r="231" spans="1:6" x14ac:dyDescent="0.25">
      <c r="A231" s="66"/>
      <c r="B231" s="67">
        <f t="shared" si="4"/>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ref="B294:B357" si="5">WEEKNUM(A294,1)</f>
        <v>0</v>
      </c>
      <c r="C294" s="68"/>
      <c r="D294" s="69"/>
      <c r="E294" s="79"/>
      <c r="F294" s="70"/>
    </row>
    <row r="295" spans="1:6" x14ac:dyDescent="0.25">
      <c r="A295" s="66"/>
      <c r="B295" s="67">
        <f t="shared" si="5"/>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ref="B358:B421" si="6">WEEKNUM(A358,1)</f>
        <v>0</v>
      </c>
      <c r="C358" s="68"/>
      <c r="D358" s="69"/>
      <c r="E358" s="79"/>
      <c r="F358" s="70"/>
    </row>
    <row r="359" spans="1:6" x14ac:dyDescent="0.25">
      <c r="A359" s="66"/>
      <c r="B359" s="67">
        <f t="shared" si="6"/>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ref="B422:B485" si="7">WEEKNUM(A422,1)</f>
        <v>0</v>
      </c>
      <c r="C422" s="68"/>
      <c r="D422" s="69"/>
      <c r="E422" s="79"/>
      <c r="F422" s="70"/>
    </row>
    <row r="423" spans="1:6" x14ac:dyDescent="0.25">
      <c r="A423" s="66"/>
      <c r="B423" s="67">
        <f t="shared" si="7"/>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ref="B486:B549" si="8">WEEKNUM(A486,1)</f>
        <v>0</v>
      </c>
      <c r="C486" s="68"/>
      <c r="D486" s="69"/>
      <c r="E486" s="79"/>
      <c r="F486" s="70"/>
    </row>
    <row r="487" spans="1:6" x14ac:dyDescent="0.25">
      <c r="A487" s="66"/>
      <c r="B487" s="67">
        <f t="shared" si="8"/>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ref="B550:B613" si="9">WEEKNUM(A550,1)</f>
        <v>0</v>
      </c>
      <c r="C550" s="68"/>
      <c r="D550" s="69"/>
      <c r="E550" s="79"/>
      <c r="F550" s="70"/>
    </row>
    <row r="551" spans="1:6" x14ac:dyDescent="0.25">
      <c r="A551" s="66"/>
      <c r="B551" s="67">
        <f t="shared" si="9"/>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ref="B614:B677" si="10">WEEKNUM(A614,1)</f>
        <v>0</v>
      </c>
      <c r="C614" s="68"/>
      <c r="D614" s="69"/>
      <c r="E614" s="79"/>
      <c r="F614" s="70"/>
    </row>
    <row r="615" spans="1:6" x14ac:dyDescent="0.25">
      <c r="A615" s="66"/>
      <c r="B615" s="67">
        <f t="shared" si="10"/>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ref="B678:B728" si="11">WEEKNUM(A678,1)</f>
        <v>0</v>
      </c>
      <c r="C678" s="68"/>
      <c r="D678" s="69"/>
      <c r="E678" s="79"/>
      <c r="F678" s="70"/>
    </row>
    <row r="679" spans="1:6" x14ac:dyDescent="0.25">
      <c r="A679" s="66"/>
      <c r="B679" s="67">
        <f t="shared" si="11"/>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2023-05-16T14:52:23Z</dcterms:modified>
</cp:coreProperties>
</file>