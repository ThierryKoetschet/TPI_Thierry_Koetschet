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1"/>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B47" i="8" l="1"/>
  <c r="C94" i="1"/>
  <c r="D2" i="1"/>
  <c r="F2" i="1"/>
  <c r="H2" i="1"/>
  <c r="F6" i="1"/>
  <c r="B35" i="1"/>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4" i="8"/>
  <c r="B5" i="8"/>
  <c r="B34" i="8"/>
  <c r="B35" i="8"/>
  <c r="B36" i="8"/>
  <c r="B37" i="8"/>
  <c r="B38" i="8"/>
  <c r="B39" i="8"/>
  <c r="B40" i="8"/>
  <c r="B41" i="8"/>
  <c r="B42" i="8"/>
  <c r="B43" i="8"/>
  <c r="B44" i="8"/>
  <c r="B45" i="8"/>
  <c r="B46"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61" i="1"/>
  <c r="L62" i="1"/>
  <c r="B57" i="1"/>
  <c r="C56" i="1"/>
  <c r="C54" i="1"/>
  <c r="C52" i="1"/>
  <c r="B55" i="1"/>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<sst xmlns="http://schemas.openxmlformats.org/spreadsheetml/2006/main" count="180" uniqueCount="131">
  <si>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</si>
  <si>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</si>
  <si>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</si>
  <si>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</si>
  <si>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</si>
  <si>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</si>
  <si>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</si>
  <si>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</si>
  <si>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</si>
  <si>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</si>
  <si>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</si>
  <si>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</si>
  <si>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</si>
  <si>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</si>
  <si>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</si>
  <si>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</si>
  <si>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</si>
  <si>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</si>
  <si>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</si>
  <si>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</si>
  <si>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</si>
  <si>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</si>
  <si>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</si>
  <si>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</si>
  <si>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</si>
  <si>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</si>
  <si>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</si>
  <si>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</si>
  <si>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</si>
  <si>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</si>
  <si>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</si>
  <si>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</si>
  <si>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</si>
  <si>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</si>
  <si>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</si>
  <si>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</si>
  <si>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</si>
  <si>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</si>
  <si>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</si>
  <si>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</si>
  <si>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</si>
  <si>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</si>
  <si>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</si>
  <si>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</si>
  <si>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</si>
  <si>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</si>
  <si>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</si>
  <si>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</si>
  <si>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</si>
  <si>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</si>
  <si>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</si>
  <si>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</si>
  <si>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</si>
  <si>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</si>
  <si>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</si>
  <si>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</si>
  <si>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</si>
  <si>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</si>
  <si>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</si>
  <si>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</si>
  <si>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</si>
  <si>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</si>
  <si>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</si>
  <si>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</si>
  <si>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</si>
  <si>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</si>
  <si>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</si>
  <si>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</si>
  <si>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</si>
  <si>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</si>
  <si>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</si>
  <si>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</si>
  <si>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</si>
  <si>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</si>
  <si>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</si>
  <si>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</si>
  <si>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</si>
  <si>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</si>
  <si>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</si>
  <si>
    <t>Fin de la maquette</t>
  </si>
  <si>
    <t>Fichier : maquette_infofit.bmpr</t>
  </si>
  <si>
    <t>Début de mise en forme de la documentation et rédaction de l'introduction</t>
  </si>
  <si>
    <t>Remplissage du journal de travail en fonction du travail réalisé dans la semaine</t>
  </si>
  <si>
    <t>Application web de fitness</t>
  </si>
  <si>
    <t>Conception du MCD avec draw.io</t>
  </si>
  <si>
    <t>Je ne sais pas encore comment intégrer toute la partie API à ma base de données et à mon application</t>
  </si>
  <si>
    <t>Conception du MLD avec MySQL Workbench</t>
  </si>
  <si>
    <t>Génération du script de création de la base de données avec MySQL Workbench et exécution du script sur HeidiSQL</t>
  </si>
  <si>
    <t>52 Autres</t>
  </si>
  <si>
    <t>Création de l'application avec Laravel</t>
  </si>
  <si>
    <t>Choix d'un template HTML/CSS pour le site</t>
  </si>
  <si>
    <t>Début de la page d'accueil et prise en main du framework</t>
  </si>
  <si>
    <t>Mise à jour de la base de données</t>
  </si>
  <si>
    <t>Après discussion avec M. Saison, j'ai mis à jour les MCD, MLD, et la base de données pour y ajouter une table poids afin d'avoir un historique de l'évolution du poids de chaque user.</t>
  </si>
  <si>
    <t>Création du gabarit</t>
  </si>
  <si>
    <t>Fichier : layout.blade.php</t>
  </si>
  <si>
    <t>Page d'accueil fonctionnelle</t>
  </si>
  <si>
    <t>Fichier : home.blade.php</t>
  </si>
  <si>
    <t>Gabarit fonctionnel</t>
  </si>
  <si>
    <t>Visualisation d'une vidéo sur le fonctionnement du login et de la connexion à la base de données avec Laravel</t>
  </si>
  <si>
    <t>Remplissage du journal de travail pour le lundi et le mardi</t>
  </si>
  <si>
    <t>Création de la migration de la base de données et connexion à la base fonctionnelle</t>
  </si>
  <si>
    <t>Création d'un enregistrement d'utilisateur</t>
  </si>
  <si>
    <t>Problème au niveau du modèle User</t>
  </si>
  <si>
    <t>Rédaction de la partie objectif et mise en page</t>
  </si>
  <si>
    <t>Remplissage du journal</t>
  </si>
  <si>
    <t>Fonctions login et register complètes</t>
  </si>
  <si>
    <t>Avance sur la page IMC</t>
  </si>
  <si>
    <t>Problème pour insérer des données de la base de données dans le graphique</t>
  </si>
  <si>
    <t>Rencontre avec M. Charmier (expert no.2)</t>
  </si>
  <si>
    <t>Début sur la page IMC</t>
  </si>
  <si>
    <t>Page IMC terminée</t>
  </si>
  <si>
    <t>Problème résolu pour l'insertion de données</t>
  </si>
  <si>
    <t>Ajout du MCD, MLD, des maquettes et rédaction de la partie organisation</t>
  </si>
  <si>
    <t>Remplissage journal de travail</t>
  </si>
  <si>
    <t>Requêtes API fonctionnent à moitié</t>
  </si>
  <si>
    <t>Problème au niveau de la taille des données récupérées</t>
  </si>
  <si>
    <t>Pages de données alimentaires journalières et d'ajout d'aliments presque abouties et ajout de la suppression d'utilisateur</t>
  </si>
  <si>
    <t>Remplissage journal de travail et envoi mail aux experts</t>
  </si>
  <si>
    <t>Requêtes API fonctionnent correctement</t>
  </si>
  <si>
    <t>Correction du bug suite au retour de M. Charmier</t>
  </si>
  <si>
    <t>Avancement de la documentation et modification du journal de travail et du planning pour y ajouter les 5 minutes entre chaque période de 45 minutes</t>
  </si>
  <si>
    <t>Avancement de la documentation</t>
  </si>
  <si>
    <t>Page de données alimentaires journalières complète</t>
  </si>
  <si>
    <t>Page de profil utilisateur complète avec la modification des infos personnelles</t>
  </si>
  <si>
    <t>Avancée de la documentation à la maison</t>
  </si>
  <si>
    <t>Ecriture de la conclusion, le résumé et du manuel d'installation</t>
  </si>
  <si>
    <t>Avancée de la documentation</t>
  </si>
  <si>
    <t>Ajout de l'option mot de passe oublié</t>
  </si>
  <si>
    <t>Rédaction des tests à effectuer en fonction de la stratégie de tests</t>
  </si>
  <si>
    <t>Application des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</si>
</sst>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90" zoomScaleNormal="90" workbookViewId="0">
      <selection activeCell="G43" sqref="G43"/>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83</v>
      </c>
      <c r="B4" s="14">
        <v>45048</v>
      </c>
      <c r="C4" s="63" t="s">
        <v>14</v>
      </c>
      <c r="D4" s="15" t="s">
        <v>15</v>
      </c>
      <c r="E4" s="8"/>
      <c r="F4" s="11" t="s">
        <v>41</v>
      </c>
      <c r="G4" s="16" t="s">
        <v>67</v>
      </c>
      <c r="H4" s="8"/>
    </row>
    <row r="5" spans="1:8" x14ac:dyDescent="0.25">
      <c r="A5" s="92"/>
      <c r="B5" s="8"/>
      <c r="C5" s="8"/>
      <c r="D5" s="8"/>
      <c r="E5" s="8"/>
      <c r="F5" s="6"/>
      <c r="G5" s="17" t="s">
        <v>68</v>
      </c>
      <c r="H5" s="8"/>
    </row>
    <row r="6" spans="1:8" x14ac:dyDescent="0.25">
      <c r="A6" s="93"/>
      <c r="B6" s="8"/>
      <c r="C6" s="8"/>
      <c r="D6" s="8"/>
      <c r="E6" s="8"/>
      <c r="F6" s="6"/>
      <c r="G6" s="17" t="s">
        <v>50</v>
      </c>
      <c r="H6" s="8"/>
    </row>
    <row r="7" spans="1:8" x14ac:dyDescent="0.25">
      <c r="A7" s="8"/>
      <c r="B7" s="8"/>
      <c r="C7" s="8"/>
      <c r="D7" s="8"/>
      <c r="E7" s="8"/>
      <c r="F7" s="6"/>
      <c r="G7" s="17" t="s">
        <v>54</v>
      </c>
      <c r="H7" s="8"/>
    </row>
    <row r="8" spans="1:8" x14ac:dyDescent="0.25">
      <c r="A8" s="8"/>
      <c r="B8" s="8"/>
      <c r="C8" s="8"/>
      <c r="D8" s="8"/>
      <c r="E8" s="8"/>
      <c r="F8" s="6"/>
      <c r="G8" s="17" t="s">
        <v>53</v>
      </c>
      <c r="H8" s="8"/>
    </row>
    <row r="9" spans="1:8" x14ac:dyDescent="0.25">
      <c r="A9" s="8"/>
      <c r="B9" s="8"/>
      <c r="C9" s="8"/>
      <c r="D9" s="8"/>
      <c r="E9" s="8"/>
      <c r="F9" s="6"/>
      <c r="G9" s="12" t="s">
        <v>49</v>
      </c>
      <c r="H9" s="8"/>
    </row>
    <row r="10" spans="1:8" x14ac:dyDescent="0.25">
      <c r="A10" s="8"/>
      <c r="B10" s="8"/>
      <c r="C10" s="8"/>
      <c r="D10" s="8"/>
      <c r="E10" s="8"/>
      <c r="F10" s="6"/>
      <c r="G10" s="12" t="s">
        <v>48</v>
      </c>
      <c r="H10" s="8"/>
    </row>
    <row r="11" spans="1:8" x14ac:dyDescent="0.25">
      <c r="A11" s="8"/>
      <c r="B11" s="8"/>
      <c r="C11" s="8"/>
      <c r="D11" s="8"/>
      <c r="E11" s="8"/>
      <c r="F11" s="6"/>
      <c r="G11" s="12" t="s">
        <v>47</v>
      </c>
      <c r="H11" s="8"/>
    </row>
    <row r="12" spans="1:8" x14ac:dyDescent="0.25">
      <c r="A12" s="8"/>
      <c r="B12" s="8"/>
      <c r="C12" s="8"/>
      <c r="D12" s="8"/>
      <c r="E12" s="8"/>
      <c r="F12" s="6"/>
      <c r="G12" s="12" t="s">
        <v>46</v>
      </c>
      <c r="H12" s="8"/>
    </row>
    <row r="13" spans="1:8" x14ac:dyDescent="0.25">
      <c r="A13" s="8"/>
      <c r="B13" s="8"/>
      <c r="C13" s="8"/>
      <c r="D13" s="8"/>
      <c r="E13" s="8"/>
      <c r="F13" s="11" t="s">
        <v>42</v>
      </c>
      <c r="G13" s="11" t="s">
        <v>51</v>
      </c>
      <c r="H13" s="8"/>
    </row>
    <row r="14" spans="1:8" x14ac:dyDescent="0.25">
      <c r="A14" s="8"/>
      <c r="B14" s="8"/>
      <c r="C14" s="8"/>
      <c r="D14" s="8"/>
      <c r="E14" s="8"/>
      <c r="F14" s="6"/>
      <c r="G14" s="12" t="s">
        <v>52</v>
      </c>
      <c r="H14" s="8"/>
    </row>
    <row r="15" spans="1:8" x14ac:dyDescent="0.25">
      <c r="A15" s="8"/>
      <c r="B15" s="8"/>
      <c r="C15" s="8"/>
      <c r="D15" s="8"/>
      <c r="E15" s="8"/>
      <c r="F15" s="6"/>
      <c r="G15" s="12" t="s">
        <v>22</v>
      </c>
      <c r="H15" s="8"/>
    </row>
    <row r="16" spans="1:8" x14ac:dyDescent="0.25">
      <c r="A16" s="8"/>
      <c r="B16" s="8"/>
      <c r="C16" s="8"/>
      <c r="D16" s="8"/>
      <c r="E16" s="8"/>
      <c r="F16" s="6"/>
      <c r="G16" s="12" t="s">
        <v>72</v>
      </c>
      <c r="H16" s="8"/>
    </row>
    <row r="17" spans="1:8" x14ac:dyDescent="0.25">
      <c r="A17" s="8"/>
      <c r="B17" s="8"/>
      <c r="C17" s="8"/>
      <c r="D17" s="8"/>
      <c r="E17" s="8"/>
      <c r="F17" s="6"/>
      <c r="G17" s="12" t="s">
        <v>66</v>
      </c>
      <c r="H17" s="8"/>
    </row>
    <row r="18" spans="1:8" x14ac:dyDescent="0.25">
      <c r="A18" s="8"/>
      <c r="B18" s="8"/>
      <c r="C18" s="8"/>
      <c r="D18" s="8"/>
      <c r="E18" s="8"/>
      <c r="F18" s="6"/>
      <c r="G18" s="12" t="s">
        <v>58</v>
      </c>
      <c r="H18" s="8"/>
    </row>
    <row r="19" spans="1:8" x14ac:dyDescent="0.25">
      <c r="A19" s="8"/>
      <c r="B19" s="8"/>
      <c r="C19" s="8"/>
      <c r="D19" s="8"/>
      <c r="E19" s="8"/>
      <c r="F19" s="6"/>
      <c r="G19" s="12" t="s">
        <v>55</v>
      </c>
      <c r="H19" s="8"/>
    </row>
    <row r="20" spans="1:8" x14ac:dyDescent="0.25">
      <c r="A20" s="8"/>
      <c r="B20" s="8"/>
      <c r="C20" s="8"/>
      <c r="D20" s="8"/>
      <c r="E20" s="8"/>
      <c r="F20" s="6"/>
      <c r="G20" s="12" t="s">
        <v>56</v>
      </c>
      <c r="H20" s="8"/>
    </row>
    <row r="21" spans="1:8" x14ac:dyDescent="0.25">
      <c r="A21" s="8"/>
      <c r="B21" s="8"/>
      <c r="C21" s="8"/>
      <c r="D21" s="8"/>
      <c r="E21" s="8"/>
      <c r="F21" s="6"/>
      <c r="G21" s="12" t="s">
        <v>57</v>
      </c>
      <c r="H21" s="8"/>
    </row>
    <row r="22" spans="1:8" x14ac:dyDescent="0.25">
      <c r="A22" s="8"/>
      <c r="B22" s="8"/>
      <c r="C22" s="8"/>
      <c r="D22" s="8"/>
      <c r="E22" s="8"/>
      <c r="F22" s="7"/>
      <c r="G22" s="12" t="s">
        <v>69</v>
      </c>
      <c r="H22" s="8"/>
    </row>
    <row r="23" spans="1:8" x14ac:dyDescent="0.25">
      <c r="A23" s="8"/>
      <c r="B23" s="8"/>
      <c r="C23" s="8"/>
      <c r="D23" s="8"/>
      <c r="E23" s="8"/>
      <c r="F23" s="11" t="s">
        <v>43</v>
      </c>
      <c r="G23" s="16" t="s">
        <v>61</v>
      </c>
      <c r="H23" s="8"/>
    </row>
    <row r="24" spans="1:8" x14ac:dyDescent="0.25">
      <c r="A24" s="8"/>
      <c r="B24" s="8"/>
      <c r="C24" s="8"/>
      <c r="D24" s="8"/>
      <c r="E24" s="8"/>
      <c r="F24" s="6"/>
      <c r="G24" s="17" t="s">
        <v>59</v>
      </c>
      <c r="H24" s="8"/>
    </row>
    <row r="25" spans="1:8" x14ac:dyDescent="0.25">
      <c r="A25" s="8"/>
      <c r="B25" s="8"/>
      <c r="C25" s="8"/>
      <c r="D25" s="8"/>
      <c r="E25" s="8"/>
      <c r="F25" s="6"/>
      <c r="G25" s="17" t="s">
        <v>60</v>
      </c>
      <c r="H25" s="8"/>
    </row>
    <row r="26" spans="1:8" x14ac:dyDescent="0.25">
      <c r="A26" s="8"/>
      <c r="B26" s="8"/>
      <c r="C26" s="8"/>
      <c r="D26" s="8"/>
      <c r="E26" s="8"/>
      <c r="F26" s="6"/>
      <c r="G26" s="17" t="s">
        <v>62</v>
      </c>
      <c r="H26" s="8"/>
    </row>
    <row r="27" spans="1:8" x14ac:dyDescent="0.25">
      <c r="A27" s="8"/>
      <c r="B27" s="8"/>
      <c r="C27" s="8"/>
      <c r="D27" s="8"/>
      <c r="E27" s="8"/>
      <c r="F27" s="6"/>
      <c r="G27" s="17" t="s">
        <v>63</v>
      </c>
      <c r="H27" s="8"/>
    </row>
    <row r="28" spans="1:8" x14ac:dyDescent="0.25">
      <c r="A28" s="8"/>
      <c r="B28" s="8"/>
      <c r="C28" s="8"/>
      <c r="D28" s="8"/>
      <c r="E28" s="8"/>
      <c r="F28" s="6"/>
      <c r="G28" s="17" t="s">
        <v>64</v>
      </c>
      <c r="H28" s="8"/>
    </row>
    <row r="29" spans="1:8" x14ac:dyDescent="0.25">
      <c r="A29" s="8"/>
      <c r="B29" s="8"/>
      <c r="C29" s="8"/>
      <c r="D29" s="8"/>
      <c r="E29" s="8"/>
      <c r="F29" s="6"/>
      <c r="G29" s="17" t="s">
        <v>65</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40</v>
      </c>
      <c r="G33" s="11" t="s">
        <v>70</v>
      </c>
      <c r="H33" s="8"/>
    </row>
    <row r="34" spans="1:8" x14ac:dyDescent="0.25">
      <c r="A34" s="8"/>
      <c r="B34" s="8"/>
      <c r="C34" s="8"/>
      <c r="D34" s="8"/>
      <c r="E34" s="8"/>
      <c r="F34" s="6"/>
      <c r="G34" s="12" t="s">
        <v>28</v>
      </c>
      <c r="H34" s="8"/>
    </row>
    <row r="35" spans="1:8" x14ac:dyDescent="0.25">
      <c r="A35" s="8"/>
      <c r="B35" s="8"/>
      <c r="C35" s="8"/>
      <c r="D35" s="8"/>
      <c r="E35" s="8"/>
      <c r="F35" s="6"/>
      <c r="G35" s="12" t="s">
        <v>71</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34</v>
      </c>
      <c r="G42" s="11" t="s">
        <v>39</v>
      </c>
      <c r="H42" s="8"/>
    </row>
    <row r="43" spans="1:8" x14ac:dyDescent="0.25">
      <c r="A43" s="8"/>
      <c r="B43" s="8"/>
      <c r="C43" s="8"/>
      <c r="D43" s="8"/>
      <c r="E43" s="8"/>
      <c r="F43" s="6"/>
      <c r="G43" s="12" t="s">
        <v>88</v>
      </c>
      <c r="H43" s="8"/>
    </row>
    <row r="44" spans="1:8" x14ac:dyDescent="0.25">
      <c r="A44" s="8"/>
      <c r="B44" s="8"/>
      <c r="C44" s="8"/>
      <c r="D44" s="8"/>
      <c r="E44" s="8"/>
      <c r="F44" s="6"/>
      <c r="G44" s="12" t="s">
        <v>31</v>
      </c>
      <c r="H44" s="8"/>
    </row>
    <row r="45" spans="1:8" x14ac:dyDescent="0.25">
      <c r="A45" s="8"/>
      <c r="B45" s="8"/>
      <c r="C45" s="8"/>
      <c r="D45" s="8"/>
      <c r="E45" s="8"/>
      <c r="F45" s="6"/>
      <c r="G45" s="12" t="s">
        <v>32</v>
      </c>
      <c r="H45" s="8"/>
    </row>
    <row r="46" spans="1:8" x14ac:dyDescent="0.25">
      <c r="A46" s="8"/>
      <c r="B46" s="8"/>
      <c r="C46" s="8"/>
      <c r="D46" s="8"/>
      <c r="E46" s="8"/>
      <c r="F46" s="6"/>
      <c r="G46" s="12" t="s">
        <v>33</v>
      </c>
      <c r="H46" s="8"/>
    </row>
    <row r="47" spans="1:8" x14ac:dyDescent="0.25">
      <c r="A47" s="8"/>
      <c r="B47" s="8"/>
      <c r="C47" s="8"/>
      <c r="D47" s="8"/>
      <c r="E47" s="8"/>
      <c r="F47" s="6"/>
      <c r="G47" s="12" t="s">
        <v>35</v>
      </c>
      <c r="H47" s="8"/>
    </row>
    <row r="48" spans="1:8" x14ac:dyDescent="0.25">
      <c r="A48" s="8"/>
      <c r="B48" s="8"/>
      <c r="C48" s="8"/>
      <c r="D48" s="8"/>
      <c r="E48" s="8"/>
      <c r="F48" s="6"/>
      <c r="G48" s="12" t="s">
        <v>36</v>
      </c>
      <c r="H48" s="8"/>
    </row>
    <row r="49" spans="1:8" x14ac:dyDescent="0.25">
      <c r="A49" s="8"/>
      <c r="B49" s="8"/>
      <c r="C49" s="8"/>
      <c r="D49" s="8"/>
      <c r="E49" s="8"/>
      <c r="F49" s="6"/>
      <c r="G49" s="12" t="s">
        <v>37</v>
      </c>
      <c r="H49" s="8"/>
    </row>
    <row r="50" spans="1:8" x14ac:dyDescent="0.25">
      <c r="A50" s="8"/>
      <c r="B50" s="8"/>
      <c r="C50" s="8"/>
      <c r="D50" s="8"/>
      <c r="E50" s="8"/>
      <c r="F50" s="7"/>
      <c r="G50" s="13" t="s">
        <v>38</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tabSelected="1" zoomScale="60" zoomScaleNormal="60" zoomScalePageLayoutView="70" workbookViewId="0">
      <selection activeCell="J58" sqref="J58"/>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Application web de fitness</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3.7534722222222219</v>
      </c>
      <c r="D3" s="1">
        <f>SUMIF($C$9:$C$9990,$C9,D$9:D$9990)</f>
        <v>0.76388888888888884</v>
      </c>
      <c r="E3" s="2"/>
      <c r="F3" s="60">
        <f>SUMIF($C$9:$C$9990,$C9,F$9:F$9990)</f>
        <v>0.99652777777777768</v>
      </c>
      <c r="G3" s="3"/>
      <c r="H3" s="60">
        <f>SUMIF($C$9:$C$9990,$C9,H$9:H$9990)</f>
        <v>0.69791666666666663</v>
      </c>
      <c r="I3" s="3"/>
      <c r="J3" s="1">
        <f>SUMIF($C$9:$C$9990,$C9,J$9:J$9990)</f>
        <v>0.99652777777777768</v>
      </c>
      <c r="K3" s="3"/>
      <c r="L3" s="1">
        <f>SUMIF($C$9:$C$9990,$C9,L$9:L$9990)</f>
        <v>0.2986111111111111</v>
      </c>
      <c r="M3" s="3"/>
      <c r="N3" s="1">
        <f>SUMIF($C$9:$C$9990,$C9,N$9:N$9990)</f>
        <v>0</v>
      </c>
      <c r="O3" s="3"/>
      <c r="P3" s="4">
        <f>SUMIF($C$9:$C$9990,$C9,P$9:P$9990)</f>
        <v>0</v>
      </c>
    </row>
    <row r="4" spans="1:17" ht="18" customHeight="1" thickBot="1" x14ac:dyDescent="0.3">
      <c r="A4" s="47" t="str">
        <f>Base!C4</f>
        <v>Koetschet</v>
      </c>
      <c r="B4" s="48">
        <f>SUM(D4:P4)</f>
        <v>3.8784722222222219</v>
      </c>
      <c r="C4" s="22"/>
      <c r="D4" s="4">
        <f>SUMIF($C$9:$C$108,$A4,D$9:D$108)</f>
        <v>0.76388888888888895</v>
      </c>
      <c r="E4" s="2"/>
      <c r="F4" s="4">
        <f>SUMIF($C$9:$C$108,$A4,F$9:F$108)</f>
        <v>0.99652777777777768</v>
      </c>
      <c r="G4" s="2"/>
      <c r="H4" s="4">
        <f>SUMIF($C$9:$C$108,$A4,H$9:H$108)</f>
        <v>0.69791666666666663</v>
      </c>
      <c r="I4" s="2"/>
      <c r="J4" s="4">
        <f>SUMIF($C$9:$C$108,$A4,J$9:J$108)</f>
        <v>0.99652777777777768</v>
      </c>
      <c r="K4" s="2"/>
      <c r="L4" s="4">
        <f>SUMIF($C$9:$C$108,$A4,L$9:L$108)</f>
        <v>0.42361111111111116</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0.5625</v>
      </c>
    </row>
    <row r="8" spans="1:17" ht="15" customHeight="1" thickBot="1" x14ac:dyDescent="0.3">
      <c r="A8" s="52"/>
      <c r="B8" s="53"/>
      <c r="C8" s="53"/>
      <c r="D8" s="54"/>
      <c r="E8" s="54"/>
      <c r="F8" s="54"/>
      <c r="G8" s="54"/>
      <c r="H8" s="54"/>
      <c r="I8" s="54"/>
      <c r="J8" s="54"/>
      <c r="K8" s="54"/>
      <c r="L8" s="54"/>
      <c r="M8" s="54"/>
      <c r="N8" s="54"/>
      <c r="O8" s="54"/>
      <c r="P8" s="54"/>
      <c r="Q8" s="36">
        <f>SUMIF($C9:$C26,$C10,Q9:Q26)</f>
        <v>0.36458333333333337</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SUMIFS(Journal!$D$4:$D$9969,Journal!$B$4:$B$9969,D$6,Journal!$C$4:$C$9969,$B9)</f>
        <v>6.5972222222222224E-2</v>
      </c>
      <c r="E10" s="42"/>
      <c r="F10" s="41">
        <f>SUMIFS(Journal!$D$4:$D$9969,Journal!$B$4:$B$9969,F$6,Journal!$C$4:$C$9969,$B9)</f>
        <v>0</v>
      </c>
      <c r="G10" s="42"/>
      <c r="H10" s="41">
        <f>SUMIFS(Journal!$D$4:$D$9969,Journal!$B$4:$B$9969,H$6,Journal!$C$4:$C$9969,$B9)</f>
        <v>0</v>
      </c>
      <c r="I10" s="42"/>
      <c r="J10" s="41">
        <f>SUMIFS(Journal!$D$4:$D$9969,Journal!$B$4:$B$9969,J$6,Journal!$C$4:$C$9969,$B9)</f>
        <v>0</v>
      </c>
      <c r="K10" s="42"/>
      <c r="L10" s="41">
        <f>SUMIFS(Journal!$D$4:$D$9969,Journal!$B$4:$B$9969,L$6,Journal!$C$4:$C$9969,$B9)</f>
        <v>0</v>
      </c>
      <c r="M10" s="42"/>
      <c r="N10" s="41">
        <f>SUMIFS(Journal!$D$4:$D$9969,Journal!$B$4:$B$9969,N$6,Journal!$C$4:$C$9969,$B9)</f>
        <v>0</v>
      </c>
      <c r="O10" s="42"/>
      <c r="P10" s="41">
        <f>SUMIFS(Journal!$D$4:$D$9969,Journal!$B$4:$B$9969,P$6,Journal!$C$4:$C$9969,$B9)</f>
        <v>0</v>
      </c>
      <c r="Q10" s="43">
        <f t="shared" si="0"/>
        <v>6.5972222222222224E-2</v>
      </c>
    </row>
    <row r="11" spans="1:17" ht="15" customHeight="1" x14ac:dyDescent="0.25">
      <c r="B11" s="5" t="str">
        <f>Base!G5</f>
        <v>12 Installation du framework Laravel</v>
      </c>
      <c r="C11" s="37" t="str">
        <f>A$3</f>
        <v>Prévu</v>
      </c>
      <c r="D11" s="45">
        <v>6.25E-2</v>
      </c>
      <c r="E11" s="38"/>
      <c r="F11" s="45"/>
      <c r="G11" s="38"/>
      <c r="H11" s="45"/>
      <c r="I11" s="38"/>
      <c r="J11" s="45"/>
      <c r="K11" s="38"/>
      <c r="L11" s="45"/>
      <c r="M11" s="38"/>
      <c r="N11" s="45"/>
      <c r="O11" s="38"/>
      <c r="P11" s="45"/>
      <c r="Q11" s="39">
        <f t="shared" si="0"/>
        <v>6.25E-2</v>
      </c>
    </row>
    <row r="12" spans="1:17" ht="15" customHeight="1" thickBot="1" x14ac:dyDescent="0.3">
      <c r="B12" s="40"/>
      <c r="C12" s="61" t="str">
        <f>A4</f>
        <v>Koetschet</v>
      </c>
      <c r="D12" s="41">
        <f>SUMIFS(Journal!$D$4:$D$9969,Journal!$B$4:$B$9969,D$6,Journal!$C$4:$C$9969,$B11)</f>
        <v>6.5972222222222224E-2</v>
      </c>
      <c r="E12" s="42"/>
      <c r="F12" s="41">
        <f>SUMIFS(Journal!$D$4:$D$9969,Journal!$B$4:$B$9969,F$6,Journal!$C$4:$C$9969,$B11)</f>
        <v>0</v>
      </c>
      <c r="G12" s="42"/>
      <c r="H12" s="41">
        <f>SUMIFS(Journal!$D$4:$D$9969,Journal!$B$4:$B$9969,H$6,Journal!$C$4:$C$9969,$B11)</f>
        <v>0</v>
      </c>
      <c r="I12" s="42"/>
      <c r="J12" s="41">
        <f>SUMIFS(Journal!$D$4:$D$9969,Journal!$B$4:$B$9969,J$6,Journal!$C$4:$C$9969,$B11)</f>
        <v>0</v>
      </c>
      <c r="K12" s="42"/>
      <c r="L12" s="41">
        <f>SUMIFS(Journal!$D$4:$D$9969,Journal!$B$4:$B$9969,L$6,Journal!$C$4:$C$9969,$B11)</f>
        <v>0</v>
      </c>
      <c r="M12" s="42"/>
      <c r="N12" s="41">
        <f>SUMIFS(Journal!$D$4:$D$9969,Journal!$B$4:$B$9969,N$6,Journal!$C$4:$C$9969,$B11)</f>
        <v>0</v>
      </c>
      <c r="O12" s="42"/>
      <c r="P12" s="41">
        <f>SUMIFS(Journal!$D$4:$D$9969,Journal!$B$4:$B$9969,P$6,Journal!$C$4:$C$9969,$B11)</f>
        <v>0</v>
      </c>
      <c r="Q12" s="43">
        <f t="shared" si="0"/>
        <v>6.5972222222222224E-2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SUMIFS(Journal!$D$4:$D$9969,Journal!$B$4:$B$9969,D$6,Journal!$C$4:$C$9969,$B13)</f>
        <v>6.5972222222222224E-2</v>
      </c>
      <c r="E14" s="42"/>
      <c r="F14" s="41">
        <f>SUMIFS(Journal!$D$4:$D$9969,Journal!$B$4:$B$9969,F$6,Journal!$C$4:$C$9969,$B13)</f>
        <v>0</v>
      </c>
      <c r="G14" s="42"/>
      <c r="H14" s="41">
        <f>SUMIFS(Journal!$D$4:$D$9969,Journal!$B$4:$B$9969,H$6,Journal!$C$4:$C$9969,$B13)</f>
        <v>0</v>
      </c>
      <c r="I14" s="42"/>
      <c r="J14" s="41">
        <f>SUMIFS(Journal!$D$4:$D$9969,Journal!$B$4:$B$9969,J$6,Journal!$C$4:$C$9969,$B13)</f>
        <v>0</v>
      </c>
      <c r="K14" s="42"/>
      <c r="L14" s="41">
        <f>SUMIFS(Journal!$D$4:$D$9969,Journal!$B$4:$B$9969,L$6,Journal!$C$4:$C$9969,$B13)</f>
        <v>0</v>
      </c>
      <c r="M14" s="42"/>
      <c r="N14" s="41">
        <f>SUMIFS(Journal!$D$4:$D$9969,Journal!$B$4:$B$9969,N$6,Journal!$C$4:$C$9969,$B13)</f>
        <v>0</v>
      </c>
      <c r="O14" s="42"/>
      <c r="P14" s="41">
        <f>SUMIFS(Journal!$D$4:$D$9969,Journal!$B$4:$B$9969,P$6,Journal!$C$4:$C$9969,$B13)</f>
        <v>0</v>
      </c>
      <c r="Q14" s="43">
        <f t="shared" si="0"/>
        <v>6.5972222222222224E-2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SUMIFS(Journal!$D$4:$D$9969,Journal!$B$4:$B$9969,D$6,Journal!$C$4:$C$9969,$B15)</f>
        <v>6.5972222222222224E-2</v>
      </c>
      <c r="E16" s="42"/>
      <c r="F16" s="41">
        <f>SUMIFS(Journal!$D$4:$D$9969,Journal!$B$4:$B$9969,F$6,Journal!$C$4:$C$9969,$B15)</f>
        <v>0</v>
      </c>
      <c r="G16" s="42"/>
      <c r="H16" s="41">
        <f>SUMIFS(Journal!$D$4:$D$9969,Journal!$B$4:$B$9969,H$6,Journal!$C$4:$C$9969,$B15)</f>
        <v>0</v>
      </c>
      <c r="I16" s="42"/>
      <c r="J16" s="41">
        <f>SUMIFS(Journal!$D$4:$D$9969,Journal!$B$4:$B$9969,J$6,Journal!$C$4:$C$9969,$B15)</f>
        <v>0</v>
      </c>
      <c r="K16" s="42"/>
      <c r="L16" s="41">
        <f>SUMIFS(Journal!$D$4:$D$9969,Journal!$B$4:$B$9969,L$6,Journal!$C$4:$C$9969,$B15)</f>
        <v>0</v>
      </c>
      <c r="M16" s="42"/>
      <c r="N16" s="41">
        <f>SUMIFS(Journal!$D$4:$D$9969,Journal!$B$4:$B$9969,N$6,Journal!$C$4:$C$9969,$B15)</f>
        <v>0</v>
      </c>
      <c r="O16" s="42"/>
      <c r="P16" s="41">
        <f>SUMIFS(Journal!$D$4:$D$9969,Journal!$B$4:$B$9969,P$6,Journal!$C$4:$C$9969,$B15)</f>
        <v>0</v>
      </c>
      <c r="Q16" s="43">
        <f t="shared" si="0"/>
        <v>6.5972222222222224E-2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SUMIFS(Journal!$D$4:$D$9969,Journal!$B$4:$B$9969,D$6,Journal!$C$4:$C$9969,$B17)</f>
        <v>0.10069444444444445</v>
      </c>
      <c r="E18" s="42"/>
      <c r="F18" s="41">
        <f>SUMIFS(Journal!$D$4:$D$9969,Journal!$B$4:$B$9969,F$6,Journal!$C$4:$C$9969,$B17)</f>
        <v>0</v>
      </c>
      <c r="G18" s="42"/>
      <c r="H18" s="41">
        <f>SUMIFS(Journal!$D$4:$D$9969,Journal!$B$4:$B$9969,H$6,Journal!$C$4:$C$9969,$B17)</f>
        <v>0</v>
      </c>
      <c r="I18" s="42"/>
      <c r="J18" s="41">
        <f>SUMIFS(Journal!$D$4:$D$9969,Journal!$B$4:$B$9969,J$6,Journal!$C$4:$C$9969,$B17)</f>
        <v>0</v>
      </c>
      <c r="K18" s="42"/>
      <c r="L18" s="41">
        <f>SUMIFS(Journal!$D$4:$D$9969,Journal!$B$4:$B$9969,L$6,Journal!$C$4:$C$9969,$B17)</f>
        <v>0</v>
      </c>
      <c r="M18" s="42"/>
      <c r="N18" s="41">
        <f>SUMIFS(Journal!$D$4:$D$9969,Journal!$B$4:$B$9969,N$6,Journal!$C$4:$C$9969,$B17)</f>
        <v>0</v>
      </c>
      <c r="O18" s="42"/>
      <c r="P18" s="41">
        <f>SUMIFS(Journal!$D$4:$D$9969,Journal!$B$4:$B$9969,P$6,Journal!$C$4:$C$9969,$B17)</f>
        <v>0</v>
      </c>
      <c r="Q18" s="43">
        <f t="shared" si="0"/>
        <v>0.10069444444444445</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SUMIFS(Journal!$D$4:$D$9969,Journal!$B$4:$B$9969,D$6,Journal!$C$4:$C$9969,$B19)</f>
        <v>0</v>
      </c>
      <c r="E20" s="42"/>
      <c r="F20" s="41">
        <f>SUMIFS(Journal!$D$4:$D$9969,Journal!$B$4:$B$9969,F$6,Journal!$C$4:$C$9969,$B19)</f>
        <v>0</v>
      </c>
      <c r="G20" s="42"/>
      <c r="H20" s="41">
        <f>SUMIFS(Journal!$D$4:$D$9969,Journal!$B$4:$B$9969,H$6,Journal!$C$4:$C$9969,$B19)</f>
        <v>0</v>
      </c>
      <c r="I20" s="42"/>
      <c r="J20" s="41">
        <f>SUMIFS(Journal!$D$4:$D$9969,Journal!$B$4:$B$9969,J$6,Journal!$C$4:$C$9969,$B19)</f>
        <v>0</v>
      </c>
      <c r="K20" s="42"/>
      <c r="L20" s="41">
        <f>SUMIFS(Journal!$D$4:$D$9969,Journal!$B$4:$B$9969,L$6,Journal!$C$4:$C$9969,$B19)</f>
        <v>0</v>
      </c>
      <c r="M20" s="42"/>
      <c r="N20" s="41">
        <f>SUMIFS(Journal!$D$4:$D$9969,Journal!$B$4:$B$9969,N$6,Journal!$C$4:$C$9969,$B19)</f>
        <v>0</v>
      </c>
      <c r="O20" s="42"/>
      <c r="P20" s="41">
        <f>SUMIFS(Journal!$D$4:$D$9969,Journal!$B$4:$B$9969,P$6,Journal!$C$4:$C$9969,$B19)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SUMIFS(Journal!$D$4:$D$9969,Journal!$B$4:$B$9969,D$6,Journal!$C$4:$C$9969,$B21)</f>
        <v>0</v>
      </c>
      <c r="E22" s="42"/>
      <c r="F22" s="41">
        <f>SUMIFS(Journal!$D$4:$D$9969,Journal!$B$4:$B$9969,F$6,Journal!$C$4:$C$9969,$B21)</f>
        <v>0</v>
      </c>
      <c r="G22" s="42"/>
      <c r="H22" s="41">
        <f>SUMIFS(Journal!$D$4:$D$9969,Journal!$B$4:$B$9969,H$6,Journal!$C$4:$C$9969,$B21)</f>
        <v>0</v>
      </c>
      <c r="I22" s="42"/>
      <c r="J22" s="41">
        <f>SUMIFS(Journal!$D$4:$D$9969,Journal!$B$4:$B$9969,J$6,Journal!$C$4:$C$9969,$B21)</f>
        <v>0</v>
      </c>
      <c r="K22" s="42"/>
      <c r="L22" s="41">
        <f>SUMIFS(Journal!$D$4:$D$9969,Journal!$B$4:$B$9969,L$6,Journal!$C$4:$C$9969,$B21)</f>
        <v>0</v>
      </c>
      <c r="M22" s="42"/>
      <c r="N22" s="41">
        <f>SUMIFS(Journal!$D$4:$D$9969,Journal!$B$4:$B$9969,N$6,Journal!$C$4:$C$9969,$B21)</f>
        <v>0</v>
      </c>
      <c r="O22" s="42"/>
      <c r="P22" s="41">
        <f>SUMIFS(Journal!$D$4:$D$9969,Journal!$B$4:$B$9969,P$6,Journal!$C$4:$C$9969,$B21)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SUMIFS(Journal!$D$4:$D$9969,Journal!$B$4:$B$9969,D$6,Journal!$C$4:$C$9969,$B23)</f>
        <v>0</v>
      </c>
      <c r="E24" s="42"/>
      <c r="F24" s="41">
        <f>SUMIFS(Journal!$D$4:$D$9969,Journal!$B$4:$B$9969,F$6,Journal!$C$4:$C$9969,$B23)</f>
        <v>0</v>
      </c>
      <c r="G24" s="42"/>
      <c r="H24" s="41">
        <f>SUMIFS(Journal!$D$4:$D$9969,Journal!$B$4:$B$9969,H$6,Journal!$C$4:$C$9969,$B23)</f>
        <v>0</v>
      </c>
      <c r="I24" s="42"/>
      <c r="J24" s="41">
        <f>SUMIFS(Journal!$D$4:$D$9969,Journal!$B$4:$B$9969,J$6,Journal!$C$4:$C$9969,$B23)</f>
        <v>0</v>
      </c>
      <c r="K24" s="42"/>
      <c r="L24" s="41">
        <f>SUMIFS(Journal!$D$4:$D$9969,Journal!$B$4:$B$9969,L$6,Journal!$C$4:$C$9969,$B23)</f>
        <v>0</v>
      </c>
      <c r="M24" s="42"/>
      <c r="N24" s="41">
        <f>SUMIFS(Journal!$D$4:$D$9969,Journal!$B$4:$B$9969,N$6,Journal!$C$4:$C$9969,$B23)</f>
        <v>0</v>
      </c>
      <c r="O24" s="42"/>
      <c r="P24" s="41">
        <f>SUMIFS(Journal!$D$4:$D$9969,Journal!$B$4:$B$9969,P$6,Journal!$C$4:$C$9969,$B23)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SUMIFS(Journal!$D$4:$D$9969,Journal!$B$4:$B$9969,D$6,Journal!$C$4:$C$9969,$B25)</f>
        <v>0</v>
      </c>
      <c r="E26" s="42"/>
      <c r="F26" s="41">
        <f>SUMIFS(Journal!$D$4:$D$9969,Journal!$B$4:$B$9969,F$6,Journal!$C$4:$C$9969,$B25)</f>
        <v>0</v>
      </c>
      <c r="G26" s="42"/>
      <c r="H26" s="41">
        <f>SUMIFS(Journal!$D$4:$D$9969,Journal!$B$4:$B$9969,H$6,Journal!$C$4:$C$9969,$B25)</f>
        <v>0</v>
      </c>
      <c r="I26" s="42"/>
      <c r="J26" s="41">
        <f>SUMIFS(Journal!$D$4:$D$9969,Journal!$B$4:$B$9969,J$6,Journal!$C$4:$C$9969,$B25)</f>
        <v>0</v>
      </c>
      <c r="K26" s="42"/>
      <c r="L26" s="41">
        <f>SUMIFS(Journal!$D$4:$D$9969,Journal!$B$4:$B$9969,L$6,Journal!$C$4:$C$9969,$B25)</f>
        <v>0</v>
      </c>
      <c r="M26" s="42"/>
      <c r="N26" s="41">
        <f>SUMIFS(Journal!$D$4:$D$9969,Journal!$B$4:$B$9969,N$6,Journal!$C$4:$C$9969,$B25)</f>
        <v>0</v>
      </c>
      <c r="O26" s="42"/>
      <c r="P26" s="41">
        <f>SUMIFS(Journal!$D$4:$D$9969,Journal!$B$4:$B$9969,P$6,Journal!$C$4:$C$9969,$B25)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1.5416666666666665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1.8055555555555556</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SUMIFS(Journal!$D$4:$D$9969,Journal!$B$4:$B$9969,D$6,Journal!$C$4:$C$9969,$B29)</f>
        <v>4.5138888888888888E-2</v>
      </c>
      <c r="E30" s="42"/>
      <c r="F30" s="41">
        <f>SUMIFS(Journal!$D$4:$D$9969,Journal!$B$4:$B$9969,F$6,Journal!$C$4:$C$9969,$B29)</f>
        <v>0</v>
      </c>
      <c r="G30" s="42"/>
      <c r="H30" s="41">
        <f>SUMIFS(Journal!$D$4:$D$9969,Journal!$B$4:$B$9969,H$6,Journal!$C$4:$C$9969,$B29)</f>
        <v>0</v>
      </c>
      <c r="I30" s="42"/>
      <c r="J30" s="41">
        <f>SUMIFS(Journal!$D$4:$D$9969,Journal!$B$4:$B$9969,J$6,Journal!$C$4:$C$9969,$B29)</f>
        <v>0</v>
      </c>
      <c r="K30" s="42"/>
      <c r="L30" s="41">
        <f>SUMIFS(Journal!$D$4:$D$9969,Journal!$B$4:$B$9969,L$6,Journal!$C$4:$C$9969,$B29)</f>
        <v>0</v>
      </c>
      <c r="M30" s="42"/>
      <c r="N30" s="41">
        <f>SUMIFS(Journal!$D$4:$D$9969,Journal!$B$4:$B$9969,N$6,Journal!$C$4:$C$9969,$B29)</f>
        <v>0</v>
      </c>
      <c r="O30" s="42"/>
      <c r="P30" s="41">
        <f>SUMIFS(Journal!$D$4:$D$9969,Journal!$B$4:$B$9969,P$6,Journal!$C$4:$C$9969,$B29)</f>
        <v>0</v>
      </c>
      <c r="Q30" s="43">
        <f t="shared" si="1"/>
        <v>4.5138888888888888E-2</v>
      </c>
    </row>
    <row r="31" spans="1:17" ht="15" customHeight="1" x14ac:dyDescent="0.25">
      <c r="B31" s="5" t="str">
        <f>Base!G14</f>
        <v>22 Conception du MLD</v>
      </c>
      <c r="C31" s="37" t="str">
        <f>A$3</f>
        <v>Prévu</v>
      </c>
      <c r="D31" s="45"/>
      <c r="E31" s="38"/>
      <c r="F31" s="45">
        <v>9.7222222222222224E-2</v>
      </c>
      <c r="G31" s="38"/>
      <c r="H31" s="45"/>
      <c r="I31" s="38"/>
      <c r="J31" s="45"/>
      <c r="K31" s="38"/>
      <c r="L31" s="45"/>
      <c r="M31" s="38"/>
      <c r="N31" s="45"/>
      <c r="O31" s="38"/>
      <c r="P31" s="45"/>
      <c r="Q31" s="39">
        <f t="shared" si="1"/>
        <v>9.7222222222222224E-2</v>
      </c>
    </row>
    <row r="32" spans="1:17" ht="15" customHeight="1" thickBot="1" x14ac:dyDescent="0.3">
      <c r="B32" s="40"/>
      <c r="C32" s="61" t="str">
        <f>A4</f>
        <v>Koetschet</v>
      </c>
      <c r="D32" s="41">
        <f>SUMIFS(Journal!$D$4:$D$9969,Journal!$B$4:$B$9969,D$6,Journal!$C$4:$C$9969,$B31)</f>
        <v>8.6805555555555566E-2</v>
      </c>
      <c r="E32" s="42"/>
      <c r="F32" s="41">
        <f>SUMIFS(Journal!$D$4:$D$9969,Journal!$B$4:$B$9969,F$6,Journal!$C$4:$C$9969,$B31)</f>
        <v>0</v>
      </c>
      <c r="G32" s="42"/>
      <c r="H32" s="41">
        <f>SUMIFS(Journal!$D$4:$D$9969,Journal!$B$4:$B$9969,H$6,Journal!$C$4:$C$9969,$B31)</f>
        <v>0</v>
      </c>
      <c r="I32" s="42"/>
      <c r="J32" s="41">
        <f>SUMIFS(Journal!$D$4:$D$9969,Journal!$B$4:$B$9969,J$6,Journal!$C$4:$C$9969,$B31)</f>
        <v>0</v>
      </c>
      <c r="K32" s="42"/>
      <c r="L32" s="41">
        <f>SUMIFS(Journal!$D$4:$D$9969,Journal!$B$4:$B$9969,L$6,Journal!$C$4:$C$9969,$B31)</f>
        <v>0</v>
      </c>
      <c r="M32" s="42"/>
      <c r="N32" s="41">
        <f>SUMIFS(Journal!$D$4:$D$9969,Journal!$B$4:$B$9969,N$6,Journal!$C$4:$C$9969,$B31)</f>
        <v>0</v>
      </c>
      <c r="O32" s="42"/>
      <c r="P32" s="41">
        <f>SUMIFS(Journal!$D$4:$D$9969,Journal!$B$4:$B$9969,P$6,Journal!$C$4:$C$9969,$B31)</f>
        <v>0</v>
      </c>
      <c r="Q32" s="43">
        <f t="shared" si="1"/>
        <v>8.6805555555555566E-2</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SUMIFS(Journal!$D$4:$D$9969,Journal!$B$4:$B$9969,D$6,Journal!$C$4:$C$9969,$B33)</f>
        <v>0</v>
      </c>
      <c r="E34" s="42"/>
      <c r="F34" s="41">
        <f>SUMIFS(Journal!$D$4:$D$9969,Journal!$B$4:$B$9969,F$6,Journal!$C$4:$C$9969,$B33)</f>
        <v>6.5972222222222224E-2</v>
      </c>
      <c r="G34" s="42"/>
      <c r="H34" s="41">
        <f>SUMIFS(Journal!$D$4:$D$9969,Journal!$B$4:$B$9969,H$6,Journal!$C$4:$C$9969,$B33)</f>
        <v>0</v>
      </c>
      <c r="I34" s="42"/>
      <c r="J34" s="41">
        <f>SUMIFS(Journal!$D$4:$D$9969,Journal!$B$4:$B$9969,J$6,Journal!$C$4:$C$9969,$B33)</f>
        <v>0</v>
      </c>
      <c r="K34" s="42"/>
      <c r="L34" s="41">
        <f>SUMIFS(Journal!$D$4:$D$9969,Journal!$B$4:$B$9969,L$6,Journal!$C$4:$C$9969,$B33)</f>
        <v>0</v>
      </c>
      <c r="M34" s="42"/>
      <c r="N34" s="41">
        <f>SUMIFS(Journal!$D$4:$D$9969,Journal!$B$4:$B$9969,N$6,Journal!$C$4:$C$9969,$B33)</f>
        <v>0</v>
      </c>
      <c r="O34" s="42"/>
      <c r="P34" s="41">
        <f>SUMIFS(Journal!$D$4:$D$9969,Journal!$B$4:$B$9969,P$6,Journal!$C$4:$C$9969,$B33)</f>
        <v>0</v>
      </c>
      <c r="Q34" s="43">
        <f t="shared" si="1"/>
        <v>6.5972222222222224E-2</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SUMIFS(Journal!$D$4:$D$9969,Journal!$B$4:$B$9969,D$6,Journal!$C$4:$C$9969,$B35)</f>
        <v>0</v>
      </c>
      <c r="E36" s="42"/>
      <c r="F36" s="41">
        <f>SUMIFS(Journal!$D$4:$D$9969,Journal!$B$4:$B$9969,F$6,Journal!$C$4:$C$9969,$B35)</f>
        <v>2.4305555555555556E-2</v>
      </c>
      <c r="G36" s="42"/>
      <c r="H36" s="41">
        <f>SUMIFS(Journal!$D$4:$D$9969,Journal!$B$4:$B$9969,H$6,Journal!$C$4:$C$9969,$B35)</f>
        <v>0</v>
      </c>
      <c r="I36" s="42"/>
      <c r="J36" s="41">
        <f>SUMIFS(Journal!$D$4:$D$9969,Journal!$B$4:$B$9969,J$6,Journal!$C$4:$C$9969,$B35)</f>
        <v>0</v>
      </c>
      <c r="K36" s="42"/>
      <c r="L36" s="41">
        <f>SUMIFS(Journal!$D$4:$D$9969,Journal!$B$4:$B$9969,L$6,Journal!$C$4:$C$9969,$B35)</f>
        <v>0</v>
      </c>
      <c r="M36" s="42"/>
      <c r="N36" s="41">
        <f>SUMIFS(Journal!$D$4:$D$9969,Journal!$B$4:$B$9969,N$6,Journal!$C$4:$C$9969,$B35)</f>
        <v>0</v>
      </c>
      <c r="O36" s="42"/>
      <c r="P36" s="41">
        <f>SUMIFS(Journal!$D$4:$D$9969,Journal!$B$4:$B$9969,P$6,Journal!$C$4:$C$9969,$B35)</f>
        <v>0</v>
      </c>
      <c r="Q36" s="43">
        <f t="shared" si="1"/>
        <v>2.4305555555555556E-2</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SUMIFS(Journal!$D$4:$D$9969,Journal!$B$4:$B$9969,D$6,Journal!$C$4:$C$9969,$B37)</f>
        <v>0</v>
      </c>
      <c r="E38" s="42"/>
      <c r="F38" s="41">
        <f>SUMIFS(Journal!$D$4:$D$9969,Journal!$B$4:$B$9969,F$6,Journal!$C$4:$C$9969,$B37)</f>
        <v>0.18402777777777779</v>
      </c>
      <c r="G38" s="42"/>
      <c r="H38" s="41">
        <f>SUMIFS(Journal!$D$4:$D$9969,Journal!$B$4:$B$9969,H$6,Journal!$C$4:$C$9969,$B37)</f>
        <v>0</v>
      </c>
      <c r="I38" s="42"/>
      <c r="J38" s="41">
        <f>SUMIFS(Journal!$D$4:$D$9969,Journal!$B$4:$B$9969,J$6,Journal!$C$4:$C$9969,$B37)</f>
        <v>0</v>
      </c>
      <c r="K38" s="42"/>
      <c r="L38" s="41">
        <f>SUMIFS(Journal!$D$4:$D$9969,Journal!$B$4:$B$9969,L$6,Journal!$C$4:$C$9969,$B37)</f>
        <v>0</v>
      </c>
      <c r="M38" s="42"/>
      <c r="N38" s="41">
        <f>SUMIFS(Journal!$D$4:$D$9969,Journal!$B$4:$B$9969,N$6,Journal!$C$4:$C$9969,$B37)</f>
        <v>0</v>
      </c>
      <c r="O38" s="42"/>
      <c r="P38" s="41">
        <f>SUMIFS(Journal!$D$4:$D$9969,Journal!$B$4:$B$9969,P$6,Journal!$C$4:$C$9969,$B37)</f>
        <v>0</v>
      </c>
      <c r="Q38" s="43">
        <f t="shared" si="1"/>
        <v>0.18402777777777779</v>
      </c>
    </row>
    <row r="39" spans="2:17" ht="15" customHeight="1" x14ac:dyDescent="0.25">
      <c r="B39" s="5" t="str">
        <f>Base!G18</f>
        <v>26 Page d'accueil / Connexion à l'application</v>
      </c>
      <c r="C39" s="37" t="str">
        <f>A$3</f>
        <v>Prévu</v>
      </c>
      <c r="D39" s="45"/>
      <c r="E39" s="38"/>
      <c r="F39" s="45">
        <v>0.22916666666666666</v>
      </c>
      <c r="G39" s="38"/>
      <c r="H39" s="45"/>
      <c r="I39" s="38"/>
      <c r="J39" s="45"/>
      <c r="K39" s="38"/>
      <c r="L39" s="45"/>
      <c r="M39" s="38"/>
      <c r="N39" s="45"/>
      <c r="O39" s="38"/>
      <c r="P39" s="45"/>
      <c r="Q39" s="39">
        <f t="shared" si="1"/>
        <v>0.22916666666666666</v>
      </c>
    </row>
    <row r="40" spans="2:17" ht="15" customHeight="1" thickBot="1" x14ac:dyDescent="0.3">
      <c r="B40" s="40"/>
      <c r="C40" s="80" t="str">
        <f>A4</f>
        <v>Koetschet</v>
      </c>
      <c r="D40" s="41">
        <f>SUMIFS(Journal!$D$4:$D$9969,Journal!$B$4:$B$9969,D$6,Journal!$C$4:$C$9969,$B39)</f>
        <v>0</v>
      </c>
      <c r="E40" s="42"/>
      <c r="F40" s="41">
        <f>SUMIFS(Journal!$D$4:$D$9969,Journal!$B$4:$B$9969,F$6,Journal!$C$4:$C$9969,$B39)</f>
        <v>0.19097222222222221</v>
      </c>
      <c r="G40" s="42"/>
      <c r="H40" s="41">
        <f>SUMIFS(Journal!$D$4:$D$9969,Journal!$B$4:$B$9969,H$6,Journal!$C$4:$C$9969,$B39)</f>
        <v>0</v>
      </c>
      <c r="I40" s="42"/>
      <c r="J40" s="41">
        <f>SUMIFS(Journal!$D$4:$D$9969,Journal!$B$4:$B$9969,J$6,Journal!$C$4:$C$9969,$B39)</f>
        <v>0</v>
      </c>
      <c r="K40" s="42"/>
      <c r="L40" s="41">
        <f>SUMIFS(Journal!$D$4:$D$9969,Journal!$B$4:$B$9969,L$6,Journal!$C$4:$C$9969,$B39)</f>
        <v>0</v>
      </c>
      <c r="M40" s="42"/>
      <c r="N40" s="41">
        <f>SUMIFS(Journal!$D$4:$D$9969,Journal!$B$4:$B$9969,N$6,Journal!$C$4:$C$9969,$B39)</f>
        <v>0</v>
      </c>
      <c r="O40" s="42"/>
      <c r="P40" s="41">
        <f>SUMIFS(Journal!$D$4:$D$9969,Journal!$B$4:$B$9969,P$6,Journal!$C$4:$C$9969,$B39)</f>
        <v>0</v>
      </c>
      <c r="Q40" s="43">
        <f t="shared" si="1"/>
        <v>0.19097222222222221</v>
      </c>
    </row>
    <row r="41" spans="2:17" ht="15" customHeight="1" x14ac:dyDescent="0.25">
      <c r="B41" s="5" t="str">
        <f>Base!G19</f>
        <v>27 Page IMC</v>
      </c>
      <c r="C41" s="37" t="str">
        <f>A$3</f>
        <v>Prévu</v>
      </c>
      <c r="D41" s="45"/>
      <c r="E41" s="38"/>
      <c r="F41" s="45">
        <v>0.125</v>
      </c>
      <c r="G41" s="38"/>
      <c r="H41" s="45">
        <v>0.125</v>
      </c>
      <c r="I41" s="38"/>
      <c r="J41" s="45"/>
      <c r="K41" s="38"/>
      <c r="L41" s="45"/>
      <c r="M41" s="38"/>
      <c r="N41" s="45"/>
      <c r="O41" s="38"/>
      <c r="P41" s="45"/>
      <c r="Q41" s="39">
        <f t="shared" si="1"/>
        <v>0.25</v>
      </c>
    </row>
    <row r="42" spans="2:17" ht="15" customHeight="1" thickBot="1" x14ac:dyDescent="0.3">
      <c r="B42" s="40"/>
      <c r="C42" s="62" t="str">
        <f>A4</f>
        <v>Koetschet</v>
      </c>
      <c r="D42" s="41">
        <f>SUMIFS(Journal!$D$4:$D$9969,Journal!$B$4:$B$9969,D$6,Journal!$C$4:$C$9969,$B41)</f>
        <v>0</v>
      </c>
      <c r="E42" s="42"/>
      <c r="F42" s="41">
        <f>SUMIFS(Journal!$D$4:$D$9969,Journal!$B$4:$B$9969,F$6,Journal!$C$4:$C$9969,$B41)</f>
        <v>0</v>
      </c>
      <c r="G42" s="42"/>
      <c r="H42" s="41">
        <f>SUMIFS(Journal!$D$4:$D$9969,Journal!$B$4:$B$9969,H$6,Journal!$C$4:$C$9969,$B41)</f>
        <v>0.33333333333333337</v>
      </c>
      <c r="I42" s="42"/>
      <c r="J42" s="41">
        <f>SUMIFS(Journal!$D$4:$D$9969,Journal!$B$4:$B$9969,J$6,Journal!$C$4:$C$9969,$B41)</f>
        <v>0</v>
      </c>
      <c r="K42" s="42"/>
      <c r="L42" s="41">
        <f>SUMIFS(Journal!$D$4:$D$9969,Journal!$B$4:$B$9969,L$6,Journal!$C$4:$C$9969,$B41)</f>
        <v>0</v>
      </c>
      <c r="M42" s="42"/>
      <c r="N42" s="41">
        <f>SUMIFS(Journal!$D$4:$D$9969,Journal!$B$4:$B$9969,N$6,Journal!$C$4:$C$9969,$B41)</f>
        <v>0</v>
      </c>
      <c r="O42" s="42"/>
      <c r="P42" s="41">
        <f>SUMIFS(Journal!$D$4:$D$9969,Journal!$B$4:$B$9969,P$6,Journal!$C$4:$C$9969,$B41)</f>
        <v>0</v>
      </c>
      <c r="Q42" s="43">
        <f t="shared" si="1"/>
        <v>0.33333333333333337</v>
      </c>
    </row>
    <row r="43" spans="2:17" ht="15" customHeight="1" x14ac:dyDescent="0.25">
      <c r="B43" s="5" t="str">
        <f>Base!G20</f>
        <v>28 Page données alimentaires journalières</v>
      </c>
      <c r="C43" s="37" t="str">
        <f>A$3</f>
        <v>Prévu</v>
      </c>
      <c r="D43" s="45"/>
      <c r="E43" s="38"/>
      <c r="F43" s="45"/>
      <c r="G43" s="38"/>
      <c r="H43" s="45">
        <v>0.27777777777777779</v>
      </c>
      <c r="I43" s="38"/>
      <c r="J43" s="45"/>
      <c r="K43" s="38"/>
      <c r="L43" s="45"/>
      <c r="M43" s="38"/>
      <c r="N43" s="45"/>
      <c r="O43" s="38"/>
      <c r="P43" s="45"/>
      <c r="Q43" s="39">
        <f t="shared" si="1"/>
        <v>0.27777777777777779</v>
      </c>
    </row>
    <row r="44" spans="2:17" ht="15" customHeight="1" thickBot="1" x14ac:dyDescent="0.3">
      <c r="B44" s="40"/>
      <c r="C44" s="62" t="str">
        <f>A4</f>
        <v>Koetschet</v>
      </c>
      <c r="D44" s="41">
        <f>SUMIFS(Journal!$D$4:$D$9969,Journal!$B$4:$B$9969,D$6,Journal!$C$4:$C$9969,$B43)</f>
        <v>0</v>
      </c>
      <c r="E44" s="42"/>
      <c r="F44" s="41">
        <f>SUMIFS(Journal!$D$4:$D$9969,Journal!$B$4:$B$9969,F$6,Journal!$C$4:$C$9969,$B43)</f>
        <v>0</v>
      </c>
      <c r="G44" s="42"/>
      <c r="H44" s="41">
        <f>SUMIFS(Journal!$D$4:$D$9969,Journal!$B$4:$B$9969,H$6,Journal!$C$4:$C$9969,$B43)</f>
        <v>0</v>
      </c>
      <c r="I44" s="42"/>
      <c r="J44" s="41">
        <f>SUMIFS(Journal!$D$4:$D$9969,Journal!$B$4:$B$9969,J$6,Journal!$C$4:$C$9969,$B43)</f>
        <v>0.35416666666666669</v>
      </c>
      <c r="K44" s="42"/>
      <c r="L44" s="41">
        <f>SUMIFS(Journal!$D$4:$D$9969,Journal!$B$4:$B$9969,L$6,Journal!$C$4:$C$9969,$B43)</f>
        <v>0</v>
      </c>
      <c r="M44" s="42"/>
      <c r="N44" s="41">
        <f>SUMIFS(Journal!$D$4:$D$9969,Journal!$B$4:$B$9969,N$6,Journal!$C$4:$C$9969,$B43)</f>
        <v>0</v>
      </c>
      <c r="O44" s="42"/>
      <c r="P44" s="41">
        <f>SUMIFS(Journal!$D$4:$D$9969,Journal!$B$4:$B$9969,P$6,Journal!$C$4:$C$9969,$B43)</f>
        <v>0</v>
      </c>
      <c r="Q44" s="43">
        <f t="shared" si="1"/>
        <v>0.35416666666666669</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SUMIFS(Journal!$D$4:$D$9969,Journal!$B$4:$B$9969,D$6,Journal!$C$4:$C$9969,$B45)</f>
        <v>0</v>
      </c>
      <c r="E46" s="42"/>
      <c r="F46" s="41">
        <f>SUMIFS(Journal!$D$4:$D$9969,Journal!$B$4:$B$9969,F$6,Journal!$C$4:$C$9969,$B45)</f>
        <v>0.22222222222222221</v>
      </c>
      <c r="G46" s="42"/>
      <c r="H46" s="41">
        <f>SUMIFS(Journal!$D$4:$D$9969,Journal!$B$4:$B$9969,H$6,Journal!$C$4:$C$9969,$B45)</f>
        <v>0.23263888888888887</v>
      </c>
      <c r="I46" s="42"/>
      <c r="J46" s="41">
        <f>SUMIFS(Journal!$D$4:$D$9969,Journal!$B$4:$B$9969,J$6,Journal!$C$4:$C$9969,$B45)</f>
        <v>0</v>
      </c>
      <c r="K46" s="42"/>
      <c r="L46" s="41">
        <f>SUMIFS(Journal!$D$4:$D$9969,Journal!$B$4:$B$9969,L$6,Journal!$C$4:$C$9969,$B45)</f>
        <v>6.5972222222222224E-2</v>
      </c>
      <c r="M46" s="42"/>
      <c r="N46" s="41">
        <f>SUMIFS(Journal!$D$4:$D$9969,Journal!$B$4:$B$9969,N$6,Journal!$C$4:$C$9969,$B45)</f>
        <v>0</v>
      </c>
      <c r="O46" s="42"/>
      <c r="P46" s="41">
        <f>SUMIFS(Journal!$D$4:$D$9969,Journal!$B$4:$B$9969,P$6,Journal!$C$4:$C$9969,$B45)</f>
        <v>0</v>
      </c>
      <c r="Q46" s="43">
        <f t="shared" si="1"/>
        <v>0.52083333333333326</v>
      </c>
    </row>
    <row r="47" spans="2:17" ht="15" customHeight="1" x14ac:dyDescent="0.25">
      <c r="B47" s="5" t="str">
        <f>Base!G22</f>
        <v>30 Connexion à la DB / API</v>
      </c>
      <c r="C47" s="37" t="str">
        <f>A$3</f>
        <v>Prévu</v>
      </c>
      <c r="D47" s="45"/>
      <c r="E47" s="38"/>
      <c r="F47" s="45"/>
      <c r="G47" s="38"/>
      <c r="H47" s="45"/>
      <c r="I47" s="38"/>
      <c r="J47" s="45">
        <v>0.29166666666666669</v>
      </c>
      <c r="K47" s="38"/>
      <c r="L47" s="45"/>
      <c r="M47" s="38"/>
      <c r="N47" s="45"/>
      <c r="O47" s="38"/>
      <c r="P47" s="45"/>
      <c r="Q47" s="39">
        <f t="shared" si="1"/>
        <v>0.29166666666666669</v>
      </c>
    </row>
    <row r="48" spans="2:17" ht="15" customHeight="1" thickBot="1" x14ac:dyDescent="0.3">
      <c r="B48" s="40"/>
      <c r="C48" s="62" t="str">
        <f>A4</f>
        <v>Koetschet</v>
      </c>
      <c r="D48" s="41">
        <f>SUMIFS(Journal!$D$4:$D$9969,Journal!$B$4:$B$9969,D$6,Journal!$C$4:$C$9969,$B47)</f>
        <v>0</v>
      </c>
      <c r="E48" s="42"/>
      <c r="F48" s="41">
        <f>SUMIFS(Journal!$D$4:$D$9969,Journal!$B$4:$B$9969,F$6,Journal!$C$4:$C$9969,$B47)</f>
        <v>0.16666666666666666</v>
      </c>
      <c r="G48" s="42"/>
      <c r="H48" s="41">
        <f>SUMIFS(Journal!$D$4:$D$9969,Journal!$B$4:$B$9969,H$6,Journal!$C$4:$C$9969,$B47)</f>
        <v>0</v>
      </c>
      <c r="I48" s="42"/>
      <c r="J48" s="41">
        <f>SUMIFS(Journal!$D$4:$D$9969,Journal!$B$4:$B$9969,J$6,Journal!$C$4:$C$9969,$B47)</f>
        <v>0.2673611111111111</v>
      </c>
      <c r="K48" s="42"/>
      <c r="L48" s="41">
        <f>SUMIFS(Journal!$D$4:$D$9969,Journal!$B$4:$B$9969,L$6,Journal!$C$4:$C$9969,$B47)</f>
        <v>0</v>
      </c>
      <c r="M48" s="42"/>
      <c r="N48" s="41">
        <f>SUMIFS(Journal!$D$4:$D$9969,Journal!$B$4:$B$9969,N$6,Journal!$C$4:$C$9969,$B47)</f>
        <v>0</v>
      </c>
      <c r="O48" s="42"/>
      <c r="P48" s="41">
        <f>SUMIFS(Journal!$D$4:$D$9969,Journal!$B$4:$B$9969,P$6,Journal!$C$4:$C$9969,$B47)</f>
        <v>0</v>
      </c>
      <c r="Q48" s="43">
        <f t="shared" si="1"/>
        <v>0.43402777777777779</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0.4201388888888889</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0.10069444444444445</v>
      </c>
    </row>
    <row r="51" spans="1:17" s="44" customFormat="1" ht="15" customHeight="1" x14ac:dyDescent="0.25">
      <c r="B51" s="5" t="str">
        <f>Base!G23</f>
        <v>31 Rédaction de la stratégie de test</v>
      </c>
      <c r="C51" s="37" t="str">
        <f>A$3</f>
        <v>Prévu</v>
      </c>
      <c r="D51" s="45"/>
      <c r="E51" s="38"/>
      <c r="F51" s="45"/>
      <c r="G51" s="38"/>
      <c r="H51" s="45"/>
      <c r="I51" s="38"/>
      <c r="J51" s="45">
        <v>7.6388888888888895E-2</v>
      </c>
      <c r="K51" s="38"/>
      <c r="L51" s="45"/>
      <c r="M51" s="38"/>
      <c r="N51" s="45"/>
      <c r="O51" s="38"/>
      <c r="P51" s="45"/>
      <c r="Q51" s="39">
        <f t="shared" ref="Q51:Q68" si="2">IF(SUM(D51:P51)=0,"",SUM(D51:P51))</f>
        <v>7.6388888888888895E-2</v>
      </c>
    </row>
    <row r="52" spans="1:17" s="44" customFormat="1" ht="15" customHeight="1" thickBot="1" x14ac:dyDescent="0.3">
      <c r="B52" s="40"/>
      <c r="C52" s="80" t="str">
        <f>A4</f>
        <v>Koetschet</v>
      </c>
      <c r="D52" s="41">
        <f>SUMIFS(Journal!$D$4:$D$9969,Journal!$B$4:$B$9969,D$6,Journal!$C$4:$C$9969,$B51)</f>
        <v>0</v>
      </c>
      <c r="E52" s="42"/>
      <c r="F52" s="41">
        <f>SUMIFS(Journal!$D$4:$D$9969,Journal!$B$4:$B$9969,F$6,Journal!$C$4:$C$9969,$B51)</f>
        <v>0</v>
      </c>
      <c r="G52" s="42"/>
      <c r="H52" s="41">
        <f>SUMIFS(Journal!$D$4:$D$9969,Journal!$B$4:$B$9969,H$6,Journal!$C$4:$C$9969,$B51)</f>
        <v>0</v>
      </c>
      <c r="I52" s="42"/>
      <c r="J52" s="41">
        <f>SUMIFS(Journal!$D$4:$D$9969,Journal!$B$4:$B$9969,J$6,Journal!$C$4:$C$9969,$B51)</f>
        <v>0</v>
      </c>
      <c r="K52" s="42"/>
      <c r="L52" s="41">
        <f>SUMIFS(Journal!$D$4:$D$9969,Journal!$B$4:$B$9969,L$6,Journal!$C$4:$C$9969,$B51)</f>
        <v>0</v>
      </c>
      <c r="M52" s="42"/>
      <c r="N52" s="41">
        <f>SUMIFS(Journal!$D$4:$D$9969,Journal!$B$4:$B$9969,N$6,Journal!$C$4:$C$9969,$B51)</f>
        <v>0</v>
      </c>
      <c r="O52" s="42"/>
      <c r="P52" s="41">
        <f>SUMIFS(Journal!$D$4:$D$9969,Journal!$B$4:$B$9969,P$6,Journal!$C$4:$C$9969,$B51)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SUMIFS(Journal!$D$4:$D$9969,Journal!$B$4:$B$9969,D$6,Journal!$C$4:$C$9969,$B53)</f>
        <v>0</v>
      </c>
      <c r="E54" s="42"/>
      <c r="F54" s="41">
        <f>SUMIFS(Journal!$D$4:$D$9969,Journal!$B$4:$B$9969,F$6,Journal!$C$4:$C$9969,$B53)</f>
        <v>0</v>
      </c>
      <c r="G54" s="42"/>
      <c r="H54" s="41">
        <f>SUMIFS(Journal!$D$4:$D$9969,Journal!$B$4:$B$9969,H$6,Journal!$C$4:$C$9969,$B53)</f>
        <v>0</v>
      </c>
      <c r="I54" s="42"/>
      <c r="J54" s="41">
        <f>SUMIFS(Journal!$D$4:$D$9969,Journal!$B$4:$B$9969,J$6,Journal!$C$4:$C$9969,$B53)</f>
        <v>0</v>
      </c>
      <c r="K54" s="42"/>
      <c r="L54" s="41">
        <f>SUMIFS(Journal!$D$4:$D$9969,Journal!$B$4:$B$9969,L$6,Journal!$C$4:$C$9969,$B53)</f>
        <v>3.4722222222222224E-2</v>
      </c>
      <c r="M54" s="42"/>
      <c r="N54" s="41">
        <f>SUMIFS(Journal!$D$4:$D$9969,Journal!$B$4:$B$9969,N$6,Journal!$C$4:$C$9969,$B53)</f>
        <v>0</v>
      </c>
      <c r="O54" s="42"/>
      <c r="P54" s="41">
        <f>SUMIFS(Journal!$D$4:$D$9969,Journal!$B$4:$B$9969,P$6,Journal!$C$4:$C$9969,$B53)</f>
        <v>0</v>
      </c>
      <c r="Q54" s="43">
        <f t="shared" si="2"/>
        <v>3.4722222222222224E-2</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SUMIFS(Journal!$D$4:$D$9969,Journal!$B$4:$B$9969,D$6,Journal!$C$4:$C$9969,$B55)</f>
        <v>0</v>
      </c>
      <c r="E56" s="42"/>
      <c r="F56" s="41">
        <f>SUMIFS(Journal!$D$4:$D$9969,Journal!$B$4:$B$9969,F$6,Journal!$C$4:$C$9969,$B55)</f>
        <v>0</v>
      </c>
      <c r="G56" s="42"/>
      <c r="H56" s="41">
        <f>SUMIFS(Journal!$D$4:$D$9969,Journal!$B$4:$B$9969,H$6,Journal!$C$4:$C$9969,$B55)</f>
        <v>0</v>
      </c>
      <c r="I56" s="42"/>
      <c r="J56" s="41">
        <f>SUMIFS(Journal!$D$4:$D$9969,Journal!$B$4:$B$9969,J$6,Journal!$C$4:$C$9969,$B55)</f>
        <v>0</v>
      </c>
      <c r="K56" s="42"/>
      <c r="L56" s="41">
        <f>SUMIFS(Journal!$D$4:$D$9969,Journal!$B$4:$B$9969,L$6,Journal!$C$4:$C$9969,$B55)</f>
        <v>6.5972222222222224E-2</v>
      </c>
      <c r="M56" s="42"/>
      <c r="N56" s="41">
        <f>SUMIFS(Journal!$D$4:$D$9969,Journal!$B$4:$B$9969,N$6,Journal!$C$4:$C$9969,$B55)</f>
        <v>0</v>
      </c>
      <c r="O56" s="42"/>
      <c r="P56" s="41">
        <f>SUMIFS(Journal!$D$4:$D$9969,Journal!$B$4:$B$9969,P$6,Journal!$C$4:$C$9969,$B55)</f>
        <v>0</v>
      </c>
      <c r="Q56" s="43">
        <f t="shared" si="2"/>
        <v>6.5972222222222224E-2</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SUMIFS(Journal!$D$4:$D$9969,Journal!$B$4:$B$9969,D$6,Journal!$C$4:$C$9969,$B57)</f>
        <v>0</v>
      </c>
      <c r="E58" s="42"/>
      <c r="F58" s="41">
        <f>SUMIFS(Journal!$D$4:$D$9969,Journal!$B$4:$B$9969,F$6,Journal!$C$4:$C$9969,$B57)</f>
        <v>0</v>
      </c>
      <c r="G58" s="42"/>
      <c r="H58" s="41">
        <f>SUMIFS(Journal!$D$4:$D$9969,Journal!$B$4:$B$9969,H$6,Journal!$C$4:$C$9969,$B57)</f>
        <v>0</v>
      </c>
      <c r="I58" s="42"/>
      <c r="J58" s="41">
        <f>SUMIFS(Journal!$D$4:$D$9969,Journal!$B$4:$B$9969,J$6,Journal!$C$4:$C$9969,$B57)</f>
        <v>0</v>
      </c>
      <c r="K58" s="42"/>
      <c r="L58" s="41">
        <f>SUMIFS(Journal!$D$4:$D$9969,Journal!$B$4:$B$9969,L$6,Journal!$C$4:$C$9969,$B57)</f>
        <v>0</v>
      </c>
      <c r="M58" s="42"/>
      <c r="N58" s="41">
        <f>SUMIFS(Journal!$D$4:$D$9969,Journal!$B$4:$B$9969,N$6,Journal!$C$4:$C$9969,$B57)</f>
        <v>0</v>
      </c>
      <c r="O58" s="42"/>
      <c r="P58" s="41">
        <f>SUMIFS(Journal!$D$4:$D$9969,Journal!$B$4:$B$9969,P$6,Journal!$C$4:$C$9969,$B57)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SUMIFS(Journal!$D$4:$D$9969,Journal!$B$4:$B$9969,D$6,Journal!$C$4:$C$9969,$B59)</f>
        <v>0</v>
      </c>
      <c r="E60" s="42"/>
      <c r="F60" s="41">
        <f>SUMIFS(Journal!$D$4:$D$9969,Journal!$B$4:$B$9969,F$6,Journal!$C$4:$C$9969,$B59)</f>
        <v>0</v>
      </c>
      <c r="G60" s="42"/>
      <c r="H60" s="41">
        <f>SUMIFS(Journal!$D$4:$D$9969,Journal!$B$4:$B$9969,H$6,Journal!$C$4:$C$9969,$B59)</f>
        <v>0</v>
      </c>
      <c r="I60" s="42"/>
      <c r="J60" s="41">
        <f>SUMIFS(Journal!$D$4:$D$9969,Journal!$B$4:$B$9969,J$6,Journal!$C$4:$C$9969,$B59)</f>
        <v>0</v>
      </c>
      <c r="K60" s="42"/>
      <c r="L60" s="41">
        <f>SUMIFS(Journal!$D$4:$D$9969,Journal!$B$4:$B$9969,L$6,Journal!$C$4:$C$9969,$B59)</f>
        <v>0</v>
      </c>
      <c r="M60" s="42"/>
      <c r="N60" s="41">
        <f>SUMIFS(Journal!$D$4:$D$9969,Journal!$B$4:$B$9969,N$6,Journal!$C$4:$C$9969,$B59)</f>
        <v>0</v>
      </c>
      <c r="O60" s="42"/>
      <c r="P60" s="41">
        <f>SUMIFS(Journal!$D$4:$D$9969,Journal!$B$4:$B$9969,P$6,Journal!$C$4:$C$9969,$B59)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SUMIFS(Journal!$D$4:$D$9969,Journal!$B$4:$B$9969,D$6,Journal!$C$4:$C$9969,$B61)</f>
        <v>0</v>
      </c>
      <c r="E62" s="42"/>
      <c r="F62" s="41">
        <f>SUMIFS(Journal!$D$4:$D$9969,Journal!$B$4:$B$9969,F$6,Journal!$C$4:$C$9969,$B61)</f>
        <v>0</v>
      </c>
      <c r="G62" s="42"/>
      <c r="H62" s="41">
        <f>SUMIFS(Journal!$D$4:$D$9969,Journal!$B$4:$B$9969,H$6,Journal!$C$4:$C$9969,$B61)</f>
        <v>0</v>
      </c>
      <c r="I62" s="42"/>
      <c r="J62" s="41">
        <f>SUMIFS(Journal!$D$4:$D$9969,Journal!$B$4:$B$9969,J$6,Journal!$C$4:$C$9969,$B61)</f>
        <v>0</v>
      </c>
      <c r="K62" s="42"/>
      <c r="L62" s="41">
        <f>SUMIFS(Journal!$D$4:$D$9969,Journal!$B$4:$B$9969,L$6,Journal!$C$4:$C$9969,$B61)</f>
        <v>0</v>
      </c>
      <c r="M62" s="42"/>
      <c r="N62" s="41">
        <f>SUMIFS(Journal!$D$4:$D$9969,Journal!$B$4:$B$9969,N$6,Journal!$C$4:$C$9969,$B61)</f>
        <v>0</v>
      </c>
      <c r="O62" s="42"/>
      <c r="P62" s="41">
        <f>SUMIFS(Journal!$D$4:$D$9969,Journal!$B$4:$B$9969,P$6,Journal!$C$4:$C$9969,$B61)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SUMIFS(Journal!$D$4:$D$9969,Journal!$B$4:$B$9969,D$6,Journal!$C$4:$C$9969,$B63)</f>
        <v>0</v>
      </c>
      <c r="E64" s="42"/>
      <c r="F64" s="41">
        <f>SUMIFS(Journal!$D$4:$D$9969,Journal!$B$4:$B$9969,F$6,Journal!$C$4:$C$9969,$B63)</f>
        <v>0</v>
      </c>
      <c r="G64" s="42"/>
      <c r="H64" s="41">
        <f>SUMIFS(Journal!$D$4:$D$9969,Journal!$B$4:$B$9969,H$6,Journal!$C$4:$C$9969,$B63)</f>
        <v>0</v>
      </c>
      <c r="I64" s="42"/>
      <c r="J64" s="41">
        <f>SUMIFS(Journal!$D$4:$D$9969,Journal!$B$4:$B$9969,J$6,Journal!$C$4:$C$9969,$B63)</f>
        <v>0</v>
      </c>
      <c r="K64" s="42"/>
      <c r="L64" s="41">
        <f>SUMIFS(Journal!$D$4:$D$9969,Journal!$B$4:$B$9969,L$6,Journal!$C$4:$C$9969,$B63)</f>
        <v>0</v>
      </c>
      <c r="M64" s="42"/>
      <c r="N64" s="41">
        <f>SUMIFS(Journal!$D$4:$D$9969,Journal!$B$4:$B$9969,N$6,Journal!$C$4:$C$9969,$B63)</f>
        <v>0</v>
      </c>
      <c r="O64" s="42"/>
      <c r="P64" s="41">
        <f>SUMIFS(Journal!$D$4:$D$9969,Journal!$B$4:$B$9969,P$6,Journal!$C$4:$C$9969,$B63)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SUMIFS(Journal!$D$4:$D$9969,Journal!$B$4:$B$9969,D$6,Journal!$C$4:$C$9969,$B65)</f>
        <v>0</v>
      </c>
      <c r="E66" s="42"/>
      <c r="F66" s="41">
        <f>SUMIFS(Journal!$D$4:$D$9969,Journal!$B$4:$B$9969,F$6,Journal!$C$4:$C$9969,$B65)</f>
        <v>0</v>
      </c>
      <c r="G66" s="42"/>
      <c r="H66" s="41">
        <f>SUMIFS(Journal!$D$4:$D$9969,Journal!$B$4:$B$9969,H$6,Journal!$C$4:$C$9969,$B65)</f>
        <v>0</v>
      </c>
      <c r="I66" s="42"/>
      <c r="J66" s="41">
        <f>SUMIFS(Journal!$D$4:$D$9969,Journal!$B$4:$B$9969,J$6,Journal!$C$4:$C$9969,$B65)</f>
        <v>0</v>
      </c>
      <c r="K66" s="42"/>
      <c r="L66" s="41">
        <f>SUMIFS(Journal!$D$4:$D$9969,Journal!$B$4:$B$9969,L$6,Journal!$C$4:$C$9969,$B65)</f>
        <v>0</v>
      </c>
      <c r="M66" s="42"/>
      <c r="N66" s="41">
        <f>SUMIFS(Journal!$D$4:$D$9969,Journal!$B$4:$B$9969,N$6,Journal!$C$4:$C$9969,$B65)</f>
        <v>0</v>
      </c>
      <c r="O66" s="42"/>
      <c r="P66" s="41">
        <f>SUMIFS(Journal!$D$4:$D$9969,Journal!$B$4:$B$9969,P$6,Journal!$C$4:$C$9969,$B65)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SUMIFS(Journal!$D$4:$D$9969,Journal!$B$4:$B$9969,D$6,Journal!$C$4:$C$9969,$B67)</f>
        <v>0</v>
      </c>
      <c r="E68" s="42"/>
      <c r="F68" s="41">
        <f>SUMIFS(Journal!$D$4:$D$9969,Journal!$B$4:$B$9969,F$6,Journal!$C$4:$C$9969,$B67)</f>
        <v>0</v>
      </c>
      <c r="G68" s="42"/>
      <c r="H68" s="41">
        <f>SUMIFS(Journal!$D$4:$D$9969,Journal!$B$4:$B$9969,H$6,Journal!$C$4:$C$9969,$B67)</f>
        <v>0</v>
      </c>
      <c r="I68" s="42"/>
      <c r="J68" s="41">
        <f>SUMIFS(Journal!$D$4:$D$9969,Journal!$B$4:$B$9969,J$6,Journal!$C$4:$C$9969,$B67)</f>
        <v>0</v>
      </c>
      <c r="K68" s="42"/>
      <c r="L68" s="41">
        <f>SUMIFS(Journal!$D$4:$D$9969,Journal!$B$4:$B$9969,L$6,Journal!$C$4:$C$9969,$B67)</f>
        <v>0</v>
      </c>
      <c r="M68" s="42"/>
      <c r="N68" s="41">
        <f>SUMIFS(Journal!$D$4:$D$9969,Journal!$B$4:$B$9969,N$6,Journal!$C$4:$C$9969,$B67)</f>
        <v>0</v>
      </c>
      <c r="O68" s="42"/>
      <c r="P68" s="41">
        <f>SUMIFS(Journal!$D$4:$D$9969,Journal!$B$4:$B$9969,P$6,Journal!$C$4:$C$9969,$B67)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0.9375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0.8784722222222221</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SUMIFS(Journal!$D$4:$D$9969,Journal!$B$4:$B$9969,D$6,Journal!$C$4:$C$9969,$B71)</f>
        <v>0.14930555555555555</v>
      </c>
      <c r="E72" s="42"/>
      <c r="F72" s="41">
        <f>SUMIFS(Journal!$D$4:$D$9969,Journal!$B$4:$B$9969,F$6,Journal!$C$4:$C$9969,$B71)</f>
        <v>0</v>
      </c>
      <c r="G72" s="42"/>
      <c r="H72" s="41">
        <f>SUMIFS(Journal!$D$4:$D$9969,Journal!$B$4:$B$9969,H$6,Journal!$C$4:$C$9969,$B71)</f>
        <v>0</v>
      </c>
      <c r="I72" s="42"/>
      <c r="J72" s="41">
        <f>SUMIFS(Journal!$D$4:$D$9969,Journal!$B$4:$B$9969,J$6,Journal!$C$4:$C$9969,$B71)</f>
        <v>0</v>
      </c>
      <c r="K72" s="42"/>
      <c r="L72" s="41">
        <f>SUMIFS(Journal!$D$4:$D$9969,Journal!$B$4:$B$9969,L$6,Journal!$C$4:$C$9969,$B71)</f>
        <v>0</v>
      </c>
      <c r="M72" s="42"/>
      <c r="N72" s="41">
        <f>SUMIFS(Journal!$D$4:$D$9969,Journal!$B$4:$B$9969,N$6,Journal!$C$4:$C$9969,$B71)</f>
        <v>0</v>
      </c>
      <c r="O72" s="42"/>
      <c r="P72" s="41">
        <f>SUMIFS(Journal!$D$4:$D$9969,Journal!$B$4:$B$9969,P$6,Journal!$C$4:$C$9969,$B71)</f>
        <v>0</v>
      </c>
      <c r="Q72" s="43">
        <f t="shared" si="3"/>
        <v>0.14930555555555555</v>
      </c>
    </row>
    <row r="73" spans="1:17" ht="15" customHeight="1" x14ac:dyDescent="0.25">
      <c r="B73" s="5" t="str">
        <f>Base!G34</f>
        <v>42 Rédaction de la documentation</v>
      </c>
      <c r="C73" s="37" t="str">
        <f>A$3</f>
        <v>Prévu</v>
      </c>
      <c r="D73" s="45">
        <v>6.25E-2</v>
      </c>
      <c r="E73" s="38"/>
      <c r="F73" s="45">
        <v>6.25E-2</v>
      </c>
      <c r="G73" s="38"/>
      <c r="H73" s="45">
        <v>6.25E-2</v>
      </c>
      <c r="I73" s="38"/>
      <c r="J73" s="45">
        <v>0.27083333333333331</v>
      </c>
      <c r="K73" s="38"/>
      <c r="L73" s="45">
        <v>0.28472222222222221</v>
      </c>
      <c r="M73" s="38"/>
      <c r="N73" s="45"/>
      <c r="O73" s="38"/>
      <c r="P73" s="45"/>
      <c r="Q73" s="39">
        <f t="shared" si="3"/>
        <v>0.74305555555555558</v>
      </c>
    </row>
    <row r="74" spans="1:17" ht="15" customHeight="1" thickBot="1" x14ac:dyDescent="0.3">
      <c r="B74" s="40"/>
      <c r="C74" s="61" t="str">
        <f>A4</f>
        <v>Koetschet</v>
      </c>
      <c r="D74" s="41">
        <f>SUMIFS(Journal!$D$4:$D$9969,Journal!$B$4:$B$9969,D$6,Journal!$C$4:$C$9969,$B73)</f>
        <v>8.6805555555555566E-2</v>
      </c>
      <c r="E74" s="42"/>
      <c r="F74" s="41">
        <f>SUMIFS(Journal!$D$4:$D$9969,Journal!$B$4:$B$9969,F$6,Journal!$C$4:$C$9969,$B73)</f>
        <v>6.5972222222222224E-2</v>
      </c>
      <c r="G74" s="42"/>
      <c r="H74" s="41">
        <f>SUMIFS(Journal!$D$4:$D$9969,Journal!$B$4:$B$9969,H$6,Journal!$C$4:$C$9969,$B73)</f>
        <v>0.10069444444444443</v>
      </c>
      <c r="I74" s="42"/>
      <c r="J74" s="41">
        <f>SUMIFS(Journal!$D$4:$D$9969,Journal!$B$4:$B$9969,J$6,Journal!$C$4:$C$9969,$B73)</f>
        <v>0.2986111111111111</v>
      </c>
      <c r="K74" s="42"/>
      <c r="L74" s="41">
        <f>SUMIFS(Journal!$D$4:$D$9969,Journal!$B$4:$B$9969,L$6,Journal!$C$4:$C$9969,$B73)</f>
        <v>0.13194444444444445</v>
      </c>
      <c r="M74" s="42"/>
      <c r="N74" s="41">
        <f>SUMIFS(Journal!$D$4:$D$9969,Journal!$B$4:$B$9969,N$6,Journal!$C$4:$C$9969,$B73)</f>
        <v>0</v>
      </c>
      <c r="O74" s="42"/>
      <c r="P74" s="41">
        <f>SUMIFS(Journal!$D$4:$D$9969,Journal!$B$4:$B$9969,P$6,Journal!$C$4:$C$9969,$B73)</f>
        <v>0</v>
      </c>
      <c r="Q74" s="43">
        <f t="shared" si="3"/>
        <v>0.68402777777777768</v>
      </c>
    </row>
    <row r="75" spans="1:17" ht="15" customHeight="1" x14ac:dyDescent="0.25">
      <c r="B75" s="5" t="str">
        <f>Base!G35</f>
        <v>43 Remplissage du journal de travail</v>
      </c>
      <c r="C75" s="37" t="str">
        <f>A$3</f>
        <v>Prévu</v>
      </c>
      <c r="D75" s="45">
        <v>1.3888888888888888E-2</v>
      </c>
      <c r="E75" s="38"/>
      <c r="F75" s="45">
        <v>1.3888888888888888E-2</v>
      </c>
      <c r="G75" s="38"/>
      <c r="H75" s="45">
        <v>1.3888888888888888E-2</v>
      </c>
      <c r="I75" s="38"/>
      <c r="J75" s="45">
        <v>1.3888888888888888E-2</v>
      </c>
      <c r="K75" s="38"/>
      <c r="L75" s="45">
        <v>1.3888888888888888E-2</v>
      </c>
      <c r="M75" s="38"/>
      <c r="N75" s="45"/>
      <c r="O75" s="38"/>
      <c r="P75" s="45"/>
      <c r="Q75" s="39">
        <f t="shared" si="3"/>
        <v>6.9444444444444448E-2</v>
      </c>
    </row>
    <row r="76" spans="1:17" ht="15" customHeight="1" thickBot="1" x14ac:dyDescent="0.3">
      <c r="B76" s="40"/>
      <c r="C76" s="80" t="str">
        <f>A4</f>
        <v>Koetschet</v>
      </c>
      <c r="D76" s="41">
        <f>SUMIFS(Journal!$D$4:$D$9969,Journal!$B$4:$B$9969,D$6,Journal!$C$4:$C$9969,$B75)</f>
        <v>1.0416666666666666E-2</v>
      </c>
      <c r="E76" s="42"/>
      <c r="F76" s="41">
        <f>SUMIFS(Journal!$D$4:$D$9969,Journal!$B$4:$B$9969,F$6,Journal!$C$4:$C$9969,$B75)</f>
        <v>1.3888888888888888E-2</v>
      </c>
      <c r="G76" s="42"/>
      <c r="H76" s="41">
        <f>SUMIFS(Journal!$D$4:$D$9969,Journal!$B$4:$B$9969,H$6,Journal!$C$4:$C$9969,$B75)</f>
        <v>1.0416666666666666E-2</v>
      </c>
      <c r="I76" s="42"/>
      <c r="J76" s="41">
        <f>SUMIFS(Journal!$D$4:$D$9969,Journal!$B$4:$B$9969,J$6,Journal!$C$4:$C$9969,$B75)</f>
        <v>1.0416666666666666E-2</v>
      </c>
      <c r="K76" s="42"/>
      <c r="L76" s="41">
        <f>SUMIFS(Journal!$D$4:$D$9969,Journal!$B$4:$B$9969,L$6,Journal!$C$4:$C$9969,$B75)</f>
        <v>0</v>
      </c>
      <c r="M76" s="42"/>
      <c r="N76" s="41">
        <f>SUMIFS(Journal!$D$4:$D$9969,Journal!$B$4:$B$9969,N$6,Journal!$C$4:$C$9969,$B75)</f>
        <v>0</v>
      </c>
      <c r="O76" s="42"/>
      <c r="P76" s="41">
        <f>SUMIFS(Journal!$D$4:$D$9969,Journal!$B$4:$B$9969,P$6,Journal!$C$4:$C$9969,$B75)</f>
        <v>0</v>
      </c>
      <c r="Q76" s="43">
        <f t="shared" si="3"/>
        <v>4.5138888888888881E-2</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SUMIFS(Journal!$D$4:$D$9969,Journal!$B$4:$B$9969,D$6,Journal!$C$4:$C$9969,$B77)</f>
        <v>0</v>
      </c>
      <c r="E78" s="42"/>
      <c r="F78" s="41">
        <f>SUMIFS(Journal!$D$4:$D$9969,Journal!$B$4:$B$9969,F$6,Journal!$C$4:$C$9969,$B77)</f>
        <v>0</v>
      </c>
      <c r="G78" s="42"/>
      <c r="H78" s="41">
        <f>SUMIFS(Journal!$D$4:$D$9969,Journal!$B$4:$B$9969,H$6,Journal!$C$4:$C$9969,$B77)</f>
        <v>0</v>
      </c>
      <c r="I78" s="42"/>
      <c r="J78" s="41">
        <f>SUMIFS(Journal!$D$4:$D$9969,Journal!$B$4:$B$9969,J$6,Journal!$C$4:$C$9969,$B77)</f>
        <v>0</v>
      </c>
      <c r="K78" s="42"/>
      <c r="L78" s="41">
        <f>SUMIFS(Journal!$D$4:$D$9969,Journal!$B$4:$B$9969,L$6,Journal!$C$4:$C$9969,$B77)</f>
        <v>0</v>
      </c>
      <c r="M78" s="42"/>
      <c r="N78" s="41">
        <f>SUMIFS(Journal!$D$4:$D$9969,Journal!$B$4:$B$9969,N$6,Journal!$C$4:$C$9969,$B77)</f>
        <v>0</v>
      </c>
      <c r="O78" s="42"/>
      <c r="P78" s="41">
        <f>SUMIFS(Journal!$D$4:$D$9969,Journal!$B$4:$B$9969,P$6,Journal!$C$4:$C$9969,$B77)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SUMIFS(Journal!$D$4:$D$9969,Journal!$B$4:$B$9969,D$6,Journal!$C$4:$C$9969,$B79)</f>
        <v>0</v>
      </c>
      <c r="E80" s="42"/>
      <c r="F80" s="41">
        <f>SUMIFS(Journal!$D$4:$D$9969,Journal!$B$4:$B$9969,F$6,Journal!$C$4:$C$9969,$B79)</f>
        <v>0</v>
      </c>
      <c r="G80" s="42"/>
      <c r="H80" s="41">
        <f>SUMIFS(Journal!$D$4:$D$9969,Journal!$B$4:$B$9969,H$6,Journal!$C$4:$C$9969,$B79)</f>
        <v>0</v>
      </c>
      <c r="I80" s="42"/>
      <c r="J80" s="41">
        <f>SUMIFS(Journal!$D$4:$D$9969,Journal!$B$4:$B$9969,J$6,Journal!$C$4:$C$9969,$B79)</f>
        <v>0</v>
      </c>
      <c r="K80" s="42"/>
      <c r="L80" s="41">
        <f>SUMIFS(Journal!$D$4:$D$9969,Journal!$B$4:$B$9969,L$6,Journal!$C$4:$C$9969,$B79)</f>
        <v>0</v>
      </c>
      <c r="M80" s="42"/>
      <c r="N80" s="41">
        <f>SUMIFS(Journal!$D$4:$D$9969,Journal!$B$4:$B$9969,N$6,Journal!$C$4:$C$9969,$B79)</f>
        <v>0</v>
      </c>
      <c r="O80" s="42"/>
      <c r="P80" s="41">
        <f>SUMIFS(Journal!$D$4:$D$9969,Journal!$B$4:$B$9969,P$6,Journal!$C$4:$C$9969,$B79)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SUMIFS(Journal!$D$4:$D$9969,Journal!$B$4:$B$9969,D$6,Journal!$C$4:$C$9969,$B81)</f>
        <v>0</v>
      </c>
      <c r="E82" s="42"/>
      <c r="F82" s="41">
        <f>SUMIFS(Journal!$D$4:$D$9969,Journal!$B$4:$B$9969,F$6,Journal!$C$4:$C$9969,$B81)</f>
        <v>0</v>
      </c>
      <c r="G82" s="42"/>
      <c r="H82" s="41">
        <f>SUMIFS(Journal!$D$4:$D$9969,Journal!$B$4:$B$9969,H$6,Journal!$C$4:$C$9969,$B81)</f>
        <v>0</v>
      </c>
      <c r="I82" s="42"/>
      <c r="J82" s="41">
        <f>SUMIFS(Journal!$D$4:$D$9969,Journal!$B$4:$B$9969,J$6,Journal!$C$4:$C$9969,$B81)</f>
        <v>0</v>
      </c>
      <c r="K82" s="42"/>
      <c r="L82" s="41">
        <f>SUMIFS(Journal!$D$4:$D$9969,Journal!$B$4:$B$9969,L$6,Journal!$C$4:$C$9969,$B81)</f>
        <v>0</v>
      </c>
      <c r="M82" s="42"/>
      <c r="N82" s="41">
        <f>SUMIFS(Journal!$D$4:$D$9969,Journal!$B$4:$B$9969,N$6,Journal!$C$4:$C$9969,$B81)</f>
        <v>0</v>
      </c>
      <c r="O82" s="42"/>
      <c r="P82" s="41">
        <f>SUMIFS(Journal!$D$4:$D$9969,Journal!$B$4:$B$9969,P$6,Journal!$C$4:$C$9969,$B81)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SUMIFS(Journal!$D$4:$D$9969,Journal!$B$4:$B$9969,D$6,Journal!$C$4:$C$9969,$B83)</f>
        <v>0</v>
      </c>
      <c r="E84" s="42"/>
      <c r="F84" s="41">
        <f>SUMIFS(Journal!$D$4:$D$9969,Journal!$B$4:$B$9969,F$6,Journal!$C$4:$C$9969,$B83)</f>
        <v>0</v>
      </c>
      <c r="G84" s="42"/>
      <c r="H84" s="41">
        <f>SUMIFS(Journal!$D$4:$D$9969,Journal!$B$4:$B$9969,H$6,Journal!$C$4:$C$9969,$B83)</f>
        <v>0</v>
      </c>
      <c r="I84" s="42"/>
      <c r="J84" s="41">
        <f>SUMIFS(Journal!$D$4:$D$9969,Journal!$B$4:$B$9969,J$6,Journal!$C$4:$C$9969,$B83)</f>
        <v>0</v>
      </c>
      <c r="K84" s="42"/>
      <c r="L84" s="41">
        <f>SUMIFS(Journal!$D$4:$D$9969,Journal!$B$4:$B$9969,L$6,Journal!$C$4:$C$9969,$B83)</f>
        <v>0</v>
      </c>
      <c r="M84" s="42"/>
      <c r="N84" s="41">
        <f>SUMIFS(Journal!$D$4:$D$9969,Journal!$B$4:$B$9969,N$6,Journal!$C$4:$C$9969,$B83)</f>
        <v>0</v>
      </c>
      <c r="O84" s="42"/>
      <c r="P84" s="41">
        <f>SUMIFS(Journal!$D$4:$D$9969,Journal!$B$4:$B$9969,P$6,Journal!$C$4:$C$9969,$B83)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SUMIFS(Journal!$D$4:$D$9969,Journal!$B$4:$B$9969,D$6,Journal!$C$4:$C$9969,$B85)</f>
        <v>0</v>
      </c>
      <c r="E86" s="42"/>
      <c r="F86" s="41">
        <f>SUMIFS(Journal!$D$4:$D$9969,Journal!$B$4:$B$9969,F$6,Journal!$C$4:$C$9969,$B85)</f>
        <v>0</v>
      </c>
      <c r="G86" s="42"/>
      <c r="H86" s="41">
        <f>SUMIFS(Journal!$D$4:$D$9969,Journal!$B$4:$B$9969,H$6,Journal!$C$4:$C$9969,$B85)</f>
        <v>0</v>
      </c>
      <c r="I86" s="42"/>
      <c r="J86" s="41">
        <f>SUMIFS(Journal!$D$4:$D$9969,Journal!$B$4:$B$9969,J$6,Journal!$C$4:$C$9969,$B85)</f>
        <v>0</v>
      </c>
      <c r="K86" s="42"/>
      <c r="L86" s="41">
        <f>SUMIFS(Journal!$D$4:$D$9969,Journal!$B$4:$B$9969,L$6,Journal!$C$4:$C$9969,$B85)</f>
        <v>0</v>
      </c>
      <c r="M86" s="42"/>
      <c r="N86" s="41">
        <f>SUMIFS(Journal!$D$4:$D$9969,Journal!$B$4:$B$9969,N$6,Journal!$C$4:$C$9969,$B85)</f>
        <v>0</v>
      </c>
      <c r="O86" s="42"/>
      <c r="P86" s="41">
        <f>SUMIFS(Journal!$D$4:$D$9969,Journal!$B$4:$B$9969,P$6,Journal!$C$4:$C$9969,$B85)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SUMIFS(Journal!$D$4:$D$9969,Journal!$B$4:$B$9969,D$6,Journal!$C$4:$C$9969,$B87)</f>
        <v>0</v>
      </c>
      <c r="E88" s="77"/>
      <c r="F88" s="76">
        <f>SUMIFS(Journal!$D$4:$D$9969,Journal!$B$4:$B$9969,F$6,Journal!$C$4:$C$9969,$B87)</f>
        <v>0</v>
      </c>
      <c r="G88" s="77"/>
      <c r="H88" s="76">
        <f>SUMIFS(Journal!$D$4:$D$9969,Journal!$B$4:$B$9969,H$6,Journal!$C$4:$C$9969,$B87)</f>
        <v>0</v>
      </c>
      <c r="I88" s="77"/>
      <c r="J88" s="76">
        <f>SUMIFS(Journal!$D$4:$D$9969,Journal!$B$4:$B$9969,J$6,Journal!$C$4:$C$9969,$B87)</f>
        <v>0</v>
      </c>
      <c r="K88" s="77"/>
      <c r="L88" s="76">
        <f>SUMIFS(Journal!$D$4:$D$9969,Journal!$B$4:$B$9969,L$6,Journal!$C$4:$C$9969,$B87)</f>
        <v>0</v>
      </c>
      <c r="M88" s="77"/>
      <c r="N88" s="76">
        <f>SUMIFS(Journal!$D$4:$D$9969,Journal!$B$4:$B$9969,N$6,Journal!$C$4:$C$9969,$B87)</f>
        <v>0</v>
      </c>
      <c r="O88" s="77"/>
      <c r="P88" s="76">
        <f>SUMIFS(Journal!$D$4:$D$9969,Journal!$B$4:$B$9969,P$6,Journal!$C$4:$C$9969,$B87)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0.2951388888888889</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SUMIFS(Journal!$D$4:$D$9969,Journal!$B$4:$B$9969,D$6,Journal!$C$4:$C$9969,$B91)</f>
        <v>2.0833333333333332E-2</v>
      </c>
      <c r="E92" s="42"/>
      <c r="F92" s="41">
        <f>SUMIFS(Journal!$D$4:$D$9969,Journal!$B$4:$B$9969,F$6,Journal!$C$4:$C$9969,$B91)</f>
        <v>0</v>
      </c>
      <c r="G92" s="42"/>
      <c r="H92" s="41">
        <f>SUMIFS(Journal!$D$4:$D$9969,Journal!$B$4:$B$9969,H$6,Journal!$C$4:$C$9969,$B91)</f>
        <v>0</v>
      </c>
      <c r="I92" s="42"/>
      <c r="J92" s="41">
        <f>SUMIFS(Journal!$D$4:$D$9969,Journal!$B$4:$B$9969,J$6,Journal!$C$4:$C$9969,$B91)</f>
        <v>0</v>
      </c>
      <c r="K92" s="42"/>
      <c r="L92" s="41">
        <f>SUMIFS(Journal!$D$4:$D$9969,Journal!$B$4:$B$9969,L$6,Journal!$C$4:$C$9969,$B91)</f>
        <v>0</v>
      </c>
      <c r="M92" s="42"/>
      <c r="N92" s="41">
        <f>SUMIFS(Journal!$D$4:$D$9969,Journal!$B$4:$B$9969,N$6,Journal!$C$4:$C$9969,$B91)</f>
        <v>0</v>
      </c>
      <c r="O92" s="42"/>
      <c r="P92" s="41">
        <f>SUMIFS(Journal!$D$4:$D$9969,Journal!$B$4:$B$9969,P$6,Journal!$C$4:$C$9969,$B91)</f>
        <v>0</v>
      </c>
      <c r="Q92" s="43">
        <f t="shared" si="4"/>
        <v>2.0833333333333332E-2</v>
      </c>
    </row>
    <row r="93" spans="1:17" x14ac:dyDescent="0.25">
      <c r="B93" s="5" t="str">
        <f>Base!G43</f>
        <v>52 Autres</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t="str">
        <f>A4</f>
        <v>Koetschet</v>
      </c>
      <c r="D94" s="41">
        <f>SUMIFS(Journal!$D$4:$D$9969,Journal!$B$4:$B$9969,D$6,Journal!$C$4:$C$9969,$B93)</f>
        <v>0</v>
      </c>
      <c r="E94" s="42"/>
      <c r="F94" s="41">
        <f>SUMIFS(Journal!$D$4:$D$9969,Journal!$B$4:$B$9969,F$6,Journal!$C$4:$C$9969,$B93)</f>
        <v>6.25E-2</v>
      </c>
      <c r="G94" s="42"/>
      <c r="H94" s="41">
        <f>SUMIFS(Journal!$D$4:$D$9969,Journal!$B$4:$B$9969,H$6,Journal!$C$4:$C$9969,$B93)</f>
        <v>2.0833333333333332E-2</v>
      </c>
      <c r="I94" s="42"/>
      <c r="J94" s="41">
        <f>SUMIFS(Journal!$D$4:$D$9969,Journal!$B$4:$B$9969,J$6,Journal!$C$4:$C$9969,$B93)</f>
        <v>6.5972222222222224E-2</v>
      </c>
      <c r="K94" s="42"/>
      <c r="L94" s="41">
        <f>SUMIFS(Journal!$D$4:$D$9969,Journal!$B$4:$B$9969,L$6,Journal!$C$4:$C$9969,$B93)</f>
        <v>0.125</v>
      </c>
      <c r="M94" s="42"/>
      <c r="N94" s="41">
        <f>SUMIFS(Journal!$D$4:$D$9969,Journal!$B$4:$B$9969,N$6,Journal!$C$4:$C$9969,$B93)</f>
        <v>0</v>
      </c>
      <c r="O94" s="42"/>
      <c r="P94" s="41">
        <f>SUMIFS(Journal!$D$4:$D$9969,Journal!$B$4:$B$9969,P$6,Journal!$C$4:$C$9969,$B93)</f>
        <v>0</v>
      </c>
      <c r="Q94" s="43">
        <f t="shared" si="4"/>
        <v>0.27430555555555558</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SUMIFS(Journal!$D$4:$D$9969,Journal!$B$4:$B$9969,D$6,Journal!$C$4:$C$9969,$B95)</f>
        <v>0</v>
      </c>
      <c r="E96" s="42"/>
      <c r="F96" s="41">
        <f>SUMIFS(Journal!$D$4:$D$9969,Journal!$B$4:$B$9969,F$6,Journal!$C$4:$C$9969,$B95)</f>
        <v>0</v>
      </c>
      <c r="G96" s="42"/>
      <c r="H96" s="41">
        <f>SUMIFS(Journal!$D$4:$D$9969,Journal!$B$4:$B$9969,H$6,Journal!$C$4:$C$9969,$B95)</f>
        <v>0</v>
      </c>
      <c r="I96" s="42"/>
      <c r="J96" s="41">
        <f>SUMIFS(Journal!$D$4:$D$9969,Journal!$B$4:$B$9969,J$6,Journal!$C$4:$C$9969,$B95)</f>
        <v>0</v>
      </c>
      <c r="K96" s="42"/>
      <c r="L96" s="41">
        <f>SUMIFS(Journal!$D$4:$D$9969,Journal!$B$4:$B$9969,L$6,Journal!$C$4:$C$9969,$B95)</f>
        <v>0</v>
      </c>
      <c r="M96" s="42"/>
      <c r="N96" s="41">
        <f>SUMIFS(Journal!$D$4:$D$9969,Journal!$B$4:$B$9969,N$6,Journal!$C$4:$C$9969,$B95)</f>
        <v>0</v>
      </c>
      <c r="O96" s="42"/>
      <c r="P96" s="41">
        <f>SUMIFS(Journal!$D$4:$D$9969,Journal!$B$4:$B$9969,P$6,Journal!$C$4:$C$9969,$B95)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SUMIFS(Journal!$D$4:$D$9969,Journal!$B$4:$B$9969,D$6,Journal!$C$4:$C$9969,$B97)</f>
        <v>0</v>
      </c>
      <c r="E98" s="42"/>
      <c r="F98" s="41">
        <f>SUMIFS(Journal!$D$4:$D$9969,Journal!$B$4:$B$9969,F$6,Journal!$C$4:$C$9969,$B97)</f>
        <v>0</v>
      </c>
      <c r="G98" s="42"/>
      <c r="H98" s="41">
        <f>SUMIFS(Journal!$D$4:$D$9969,Journal!$B$4:$B$9969,H$6,Journal!$C$4:$C$9969,$B97)</f>
        <v>0</v>
      </c>
      <c r="I98" s="42"/>
      <c r="J98" s="41">
        <f>SUMIFS(Journal!$D$4:$D$9969,Journal!$B$4:$B$9969,J$6,Journal!$C$4:$C$9969,$B97)</f>
        <v>0</v>
      </c>
      <c r="K98" s="42"/>
      <c r="L98" s="41">
        <f>SUMIFS(Journal!$D$4:$D$9969,Journal!$B$4:$B$9969,L$6,Journal!$C$4:$C$9969,$B97)</f>
        <v>0</v>
      </c>
      <c r="M98" s="42"/>
      <c r="N98" s="41">
        <f>SUMIFS(Journal!$D$4:$D$9969,Journal!$B$4:$B$9969,N$6,Journal!$C$4:$C$9969,$B97)</f>
        <v>0</v>
      </c>
      <c r="O98" s="42"/>
      <c r="P98" s="41">
        <f>SUMIFS(Journal!$D$4:$D$9969,Journal!$B$4:$B$9969,P$6,Journal!$C$4:$C$9969,$B97)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SUMIFS(Journal!$D$4:$D$9969,Journal!$B$4:$B$9969,D$6,Journal!$C$4:$C$9969,$B99)</f>
        <v>0</v>
      </c>
      <c r="E100" s="42"/>
      <c r="F100" s="41">
        <f>SUMIFS(Journal!$D$4:$D$9969,Journal!$B$4:$B$9969,F$6,Journal!$C$4:$C$9969,$B99)</f>
        <v>0</v>
      </c>
      <c r="G100" s="42"/>
      <c r="H100" s="41">
        <f>SUMIFS(Journal!$D$4:$D$9969,Journal!$B$4:$B$9969,H$6,Journal!$C$4:$C$9969,$B99)</f>
        <v>0</v>
      </c>
      <c r="I100" s="42"/>
      <c r="J100" s="41">
        <f>SUMIFS(Journal!$D$4:$D$9969,Journal!$B$4:$B$9969,J$6,Journal!$C$4:$C$9969,$B99)</f>
        <v>0</v>
      </c>
      <c r="K100" s="42"/>
      <c r="L100" s="41">
        <f>SUMIFS(Journal!$D$4:$D$9969,Journal!$B$4:$B$9969,L$6,Journal!$C$4:$C$9969,$B99)</f>
        <v>0</v>
      </c>
      <c r="M100" s="42"/>
      <c r="N100" s="41">
        <f>SUMIFS(Journal!$D$4:$D$9969,Journal!$B$4:$B$9969,N$6,Journal!$C$4:$C$9969,$B99)</f>
        <v>0</v>
      </c>
      <c r="O100" s="42"/>
      <c r="P100" s="41">
        <f>SUMIFS(Journal!$D$4:$D$9969,Journal!$B$4:$B$9969,P$6,Journal!$C$4:$C$9969,$B99)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SUMIFS(Journal!$D$4:$D$9969,Journal!$B$4:$B$9969,D$6,Journal!$C$4:$C$9969,$B101)</f>
        <v>0</v>
      </c>
      <c r="E102" s="42"/>
      <c r="F102" s="41">
        <f>SUMIFS(Journal!$D$4:$D$9969,Journal!$B$4:$B$9969,F$6,Journal!$C$4:$C$9969,$B101)</f>
        <v>0</v>
      </c>
      <c r="G102" s="42"/>
      <c r="H102" s="41">
        <f>SUMIFS(Journal!$D$4:$D$9969,Journal!$B$4:$B$9969,H$6,Journal!$C$4:$C$9969,$B101)</f>
        <v>0</v>
      </c>
      <c r="I102" s="42"/>
      <c r="J102" s="41">
        <f>SUMIFS(Journal!$D$4:$D$9969,Journal!$B$4:$B$9969,J$6,Journal!$C$4:$C$9969,$B101)</f>
        <v>0</v>
      </c>
      <c r="K102" s="42"/>
      <c r="L102" s="41">
        <f>SUMIFS(Journal!$D$4:$D$9969,Journal!$B$4:$B$9969,L$6,Journal!$C$4:$C$9969,$B101)</f>
        <v>0</v>
      </c>
      <c r="M102" s="42"/>
      <c r="N102" s="41">
        <f>SUMIFS(Journal!$D$4:$D$9969,Journal!$B$4:$B$9969,N$6,Journal!$C$4:$C$9969,$B101)</f>
        <v>0</v>
      </c>
      <c r="O102" s="42"/>
      <c r="P102" s="41">
        <f>SUMIFS(Journal!$D$4:$D$9969,Journal!$B$4:$B$9969,P$6,Journal!$C$4:$C$9969,$B101)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SUMIFS(Journal!$D$4:$D$9969,Journal!$B$4:$B$9969,D$6,Journal!$C$4:$C$9969,$B103)</f>
        <v>0</v>
      </c>
      <c r="E104" s="42"/>
      <c r="F104" s="41">
        <f>SUMIFS(Journal!$D$4:$D$9969,Journal!$B$4:$B$9969,F$6,Journal!$C$4:$C$9969,$B103)</f>
        <v>0</v>
      </c>
      <c r="G104" s="42"/>
      <c r="H104" s="41">
        <f>SUMIFS(Journal!$D$4:$D$9969,Journal!$B$4:$B$9969,H$6,Journal!$C$4:$C$9969,$B103)</f>
        <v>0</v>
      </c>
      <c r="I104" s="42"/>
      <c r="J104" s="41">
        <f>SUMIFS(Journal!$D$4:$D$9969,Journal!$B$4:$B$9969,J$6,Journal!$C$4:$C$9969,$B103)</f>
        <v>0</v>
      </c>
      <c r="K104" s="42"/>
      <c r="L104" s="41">
        <f>SUMIFS(Journal!$D$4:$D$9969,Journal!$B$4:$B$9969,L$6,Journal!$C$4:$C$9969,$B103)</f>
        <v>0</v>
      </c>
      <c r="M104" s="42"/>
      <c r="N104" s="41">
        <f>SUMIFS(Journal!$D$4:$D$9969,Journal!$B$4:$B$9969,N$6,Journal!$C$4:$C$9969,$B103)</f>
        <v>0</v>
      </c>
      <c r="O104" s="42"/>
      <c r="P104" s="41">
        <f>SUMIFS(Journal!$D$4:$D$9969,Journal!$B$4:$B$9969,P$6,Journal!$C$4:$C$9969,$B103)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SUMIFS(Journal!$D$4:$D$9969,Journal!$B$4:$B$9969,D$6,Journal!$C$4:$C$9969,$B105)</f>
        <v>0</v>
      </c>
      <c r="E106" s="42"/>
      <c r="F106" s="41">
        <f>SUMIFS(Journal!$D$4:$D$9969,Journal!$B$4:$B$9969,F$6,Journal!$C$4:$C$9969,$B105)</f>
        <v>0</v>
      </c>
      <c r="G106" s="42"/>
      <c r="H106" s="41">
        <f>SUMIFS(Journal!$D$4:$D$9969,Journal!$B$4:$B$9969,H$6,Journal!$C$4:$C$9969,$B105)</f>
        <v>0</v>
      </c>
      <c r="I106" s="42"/>
      <c r="J106" s="41">
        <f>SUMIFS(Journal!$D$4:$D$9969,Journal!$B$4:$B$9969,J$6,Journal!$C$4:$C$9969,$B105)</f>
        <v>0</v>
      </c>
      <c r="K106" s="42"/>
      <c r="L106" s="41">
        <f>SUMIFS(Journal!$D$4:$D$9969,Journal!$B$4:$B$9969,L$6,Journal!$C$4:$C$9969,$B105)</f>
        <v>0</v>
      </c>
      <c r="M106" s="42"/>
      <c r="N106" s="41">
        <f>SUMIFS(Journal!$D$4:$D$9969,Journal!$B$4:$B$9969,N$6,Journal!$C$4:$C$9969,$B105)</f>
        <v>0</v>
      </c>
      <c r="O106" s="42"/>
      <c r="P106" s="41">
        <f>SUMIFS(Journal!$D$4:$D$9969,Journal!$B$4:$B$9969,P$6,Journal!$C$4:$C$9969,$B105)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SUMIFS(Journal!$D$4:$D$9969,Journal!$B$4:$B$9969,D$6,Journal!$C$4:$C$9969,$B107)</f>
        <v>0</v>
      </c>
      <c r="E108" s="77"/>
      <c r="F108" s="76">
        <f>SUMIFS(Journal!$D$4:$D$9969,Journal!$B$4:$B$9969,F$6,Journal!$C$4:$C$9969,$B107)</f>
        <v>0</v>
      </c>
      <c r="G108" s="77"/>
      <c r="H108" s="76">
        <f>SUMIFS(Journal!$D$4:$D$9969,Journal!$B$4:$B$9969,H$6,Journal!$C$4:$C$9969,$B107)</f>
        <v>0</v>
      </c>
      <c r="I108" s="77"/>
      <c r="J108" s="76">
        <f>SUMIFS(Journal!$D$4:$D$9969,Journal!$B$4:$B$9969,J$6,Journal!$C$4:$C$9969,$B107)</f>
        <v>0</v>
      </c>
      <c r="K108" s="77"/>
      <c r="L108" s="76">
        <f>SUMIFS(Journal!$D$4:$D$9969,Journal!$B$4:$B$9969,L$6,Journal!$C$4:$C$9969,$B107)</f>
        <v>0</v>
      </c>
      <c r="M108" s="77"/>
      <c r="N108" s="76">
        <f>SUMIFS(Journal!$D$4:$D$9969,Journal!$B$4:$B$9969,N$6,Journal!$C$4:$C$9969,$B107)</f>
        <v>0</v>
      </c>
      <c r="O108" s="77"/>
      <c r="P108" s="76">
        <f>SUMIFS(Journal!$D$4:$D$9969,Journal!$B$4:$B$9969,P$6,Journal!$C$4:$C$9969,$B107)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topLeftCell="A12" zoomScale="90" zoomScaleNormal="90" workbookViewId="0">
      <selection activeCell="B25" sqref="B25"/>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30</v>
      </c>
      <c r="B2" s="94"/>
      <c r="C2" s="86"/>
      <c r="D2" s="86"/>
      <c r="F2" s="89"/>
    </row>
    <row r="3" spans="1:6" x14ac:dyDescent="0.25">
      <c r="A3" s="64" t="s">
        <v>23</v>
      </c>
      <c r="B3" s="64" t="s">
        <v>24</v>
      </c>
      <c r="C3" s="64" t="s">
        <v>25</v>
      </c>
      <c r="D3" s="64" t="s">
        <v>26</v>
      </c>
      <c r="E3" s="83" t="s">
        <v>29</v>
      </c>
      <c r="F3" s="65" t="s">
        <v>27</v>
      </c>
    </row>
    <row r="4" spans="1:6" x14ac:dyDescent="0.25">
      <c r="A4" s="66">
        <v>45048</v>
      </c>
      <c r="B4" s="67">
        <f>WEEKNUM(A4,1)</f>
        <v>18</v>
      </c>
      <c r="C4" s="68" t="s">
        <v>39</v>
      </c>
      <c r="D4" s="69">
        <v>2.0833333333333332E-2</v>
      </c>
      <c r="E4" s="79" t="s">
        <v>44</v>
      </c>
      <c r="F4" s="70"/>
    </row>
    <row r="5" spans="1:6" x14ac:dyDescent="0.25">
      <c r="A5" s="66">
        <v>45048</v>
      </c>
      <c r="B5" s="67">
        <f t="shared" ref="B5:B37" si="0">WEEKNUM(A5,1)</f>
        <v>18</v>
      </c>
      <c r="C5" s="68" t="s">
        <v>70</v>
      </c>
      <c r="D5" s="69">
        <v>0.14930555555555555</v>
      </c>
      <c r="E5" s="79" t="s">
        <v>45</v>
      </c>
      <c r="F5" s="70"/>
    </row>
    <row r="6" spans="1:6" ht="30" x14ac:dyDescent="0.25">
      <c r="A6" s="66">
        <v>45048</v>
      </c>
      <c r="B6" s="67">
        <f t="shared" si="0"/>
        <v>18</v>
      </c>
      <c r="C6" s="68" t="s">
        <v>67</v>
      </c>
      <c r="D6" s="69">
        <v>6.5972222222222224E-2</v>
      </c>
      <c r="E6" s="79" t="s">
        <v>73</v>
      </c>
      <c r="F6" s="70"/>
    </row>
    <row r="7" spans="1:6" ht="30" x14ac:dyDescent="0.25">
      <c r="A7" s="66">
        <v>45048</v>
      </c>
      <c r="B7" s="67">
        <f t="shared" si="0"/>
        <v>18</v>
      </c>
      <c r="C7" s="68" t="s">
        <v>68</v>
      </c>
      <c r="D7" s="69">
        <v>6.5972222222222224E-2</v>
      </c>
      <c r="E7" s="79" t="s">
        <v>74</v>
      </c>
      <c r="F7" s="70" t="s">
        <v>76</v>
      </c>
    </row>
    <row r="8" spans="1:6" x14ac:dyDescent="0.25">
      <c r="A8" s="66">
        <v>45049</v>
      </c>
      <c r="B8" s="67">
        <f t="shared" si="0"/>
        <v>18</v>
      </c>
      <c r="C8" s="68" t="s">
        <v>50</v>
      </c>
      <c r="D8" s="69">
        <v>6.5972222222222224E-2</v>
      </c>
      <c r="E8" s="79" t="s">
        <v>75</v>
      </c>
      <c r="F8" s="70"/>
    </row>
    <row r="9" spans="1:6" x14ac:dyDescent="0.25">
      <c r="A9" s="66">
        <v>45049</v>
      </c>
      <c r="B9" s="67">
        <f t="shared" si="0"/>
        <v>18</v>
      </c>
      <c r="C9" s="68" t="s">
        <v>54</v>
      </c>
      <c r="D9" s="69">
        <v>6.5972222222222224E-2</v>
      </c>
      <c r="E9" s="79" t="s">
        <v>77</v>
      </c>
      <c r="F9" s="70"/>
    </row>
    <row r="10" spans="1:6" x14ac:dyDescent="0.25">
      <c r="A10" s="66">
        <v>45049</v>
      </c>
      <c r="B10" s="67">
        <f t="shared" si="0"/>
        <v>18</v>
      </c>
      <c r="C10" s="68" t="s">
        <v>53</v>
      </c>
      <c r="D10" s="69">
        <v>3.4722222222222224E-2</v>
      </c>
      <c r="E10" s="79" t="s">
        <v>78</v>
      </c>
      <c r="F10" s="70" t="s">
        <v>80</v>
      </c>
    </row>
    <row r="11" spans="1:6" x14ac:dyDescent="0.25">
      <c r="A11" s="66">
        <v>45050</v>
      </c>
      <c r="B11" s="67">
        <f t="shared" si="0"/>
        <v>18</v>
      </c>
      <c r="C11" s="68" t="s">
        <v>53</v>
      </c>
      <c r="D11" s="69">
        <v>6.5972222222222224E-2</v>
      </c>
      <c r="E11" s="79" t="s">
        <v>79</v>
      </c>
      <c r="F11" s="70"/>
    </row>
    <row r="12" spans="1:6" ht="30" x14ac:dyDescent="0.25">
      <c r="A12" s="66">
        <v>45050</v>
      </c>
      <c r="B12" s="67">
        <f t="shared" si="0"/>
        <v>18</v>
      </c>
      <c r="C12" s="68" t="s">
        <v>28</v>
      </c>
      <c r="D12" s="69">
        <v>8.6805555555555566E-2</v>
      </c>
      <c r="E12" s="79" t="s">
        <v>81</v>
      </c>
      <c r="F12" s="70"/>
    </row>
    <row r="13" spans="1:6" ht="30" x14ac:dyDescent="0.25">
      <c r="A13" s="66">
        <v>45050</v>
      </c>
      <c r="B13" s="67">
        <f t="shared" si="0"/>
        <v>18</v>
      </c>
      <c r="C13" s="68" t="s">
        <v>51</v>
      </c>
      <c r="D13" s="69">
        <v>4.5138888888888888E-2</v>
      </c>
      <c r="E13" s="79" t="s">
        <v>84</v>
      </c>
      <c r="F13" s="70" t="s">
        <v>85</v>
      </c>
    </row>
    <row r="14" spans="1:6" x14ac:dyDescent="0.25">
      <c r="A14" s="66">
        <v>45050</v>
      </c>
      <c r="B14" s="67">
        <f t="shared" si="0"/>
        <v>18</v>
      </c>
      <c r="C14" s="68" t="s">
        <v>52</v>
      </c>
      <c r="D14" s="69">
        <v>8.6805555555555566E-2</v>
      </c>
      <c r="E14" s="79" t="s">
        <v>86</v>
      </c>
      <c r="F14" s="70"/>
    </row>
    <row r="15" spans="1:6" ht="30" x14ac:dyDescent="0.25">
      <c r="A15" s="66">
        <v>45050</v>
      </c>
      <c r="B15" s="67">
        <f t="shared" si="0"/>
        <v>18</v>
      </c>
      <c r="C15" s="68" t="s">
        <v>71</v>
      </c>
      <c r="D15" s="69">
        <v>1.0416666666666666E-2</v>
      </c>
      <c r="E15" s="79" t="s">
        <v>82</v>
      </c>
      <c r="F15" s="70"/>
    </row>
    <row r="16" spans="1:6" ht="45" x14ac:dyDescent="0.25">
      <c r="A16" s="66">
        <v>45054</v>
      </c>
      <c r="B16" s="67">
        <f t="shared" si="0"/>
        <v>19</v>
      </c>
      <c r="C16" s="68" t="s">
        <v>22</v>
      </c>
      <c r="D16" s="69">
        <v>2.0833333333333332E-2</v>
      </c>
      <c r="E16" s="79" t="s">
        <v>87</v>
      </c>
      <c r="F16" s="70"/>
    </row>
    <row r="17" spans="1:6" x14ac:dyDescent="0.25">
      <c r="A17" s="66">
        <v>45054</v>
      </c>
      <c r="B17" s="67">
        <f t="shared" si="0"/>
        <v>19</v>
      </c>
      <c r="C17" s="68" t="s">
        <v>72</v>
      </c>
      <c r="D17" s="69">
        <v>2.4305555555555556E-2</v>
      </c>
      <c r="E17" s="79" t="s">
        <v>89</v>
      </c>
      <c r="F17" s="70"/>
    </row>
    <row r="18" spans="1:6" x14ac:dyDescent="0.25">
      <c r="A18" s="66">
        <v>45054</v>
      </c>
      <c r="B18" s="67">
        <f t="shared" si="0"/>
        <v>19</v>
      </c>
      <c r="C18" s="68" t="s">
        <v>88</v>
      </c>
      <c r="D18" s="69">
        <v>3.125E-2</v>
      </c>
      <c r="E18" s="79" t="s">
        <v>90</v>
      </c>
      <c r="F18" s="70"/>
    </row>
    <row r="19" spans="1:6" ht="15" customHeight="1" x14ac:dyDescent="0.25">
      <c r="A19" s="66">
        <v>45054</v>
      </c>
      <c r="B19" s="67">
        <f t="shared" si="0"/>
        <v>19</v>
      </c>
      <c r="C19" s="68" t="s">
        <v>58</v>
      </c>
      <c r="D19" s="69">
        <v>2.4305555555555556E-2</v>
      </c>
      <c r="E19" s="79" t="s">
        <v>91</v>
      </c>
      <c r="F19" s="70"/>
    </row>
    <row r="20" spans="1:6" ht="60" x14ac:dyDescent="0.25">
      <c r="A20" s="66">
        <v>45054</v>
      </c>
      <c r="B20" s="67">
        <f t="shared" si="0"/>
        <v>19</v>
      </c>
      <c r="C20" s="68" t="s">
        <v>22</v>
      </c>
      <c r="D20" s="69">
        <v>4.5138888888888888E-2</v>
      </c>
      <c r="E20" s="79" t="s">
        <v>92</v>
      </c>
      <c r="F20" s="70" t="s">
        <v>93</v>
      </c>
    </row>
    <row r="21" spans="1:6" x14ac:dyDescent="0.25">
      <c r="A21" s="66">
        <v>45054</v>
      </c>
      <c r="B21" s="67">
        <f t="shared" si="0"/>
        <v>19</v>
      </c>
      <c r="C21" s="68" t="s">
        <v>66</v>
      </c>
      <c r="D21" s="69">
        <v>8.6805555555555566E-2</v>
      </c>
      <c r="E21" s="79" t="s">
        <v>94</v>
      </c>
      <c r="F21" s="70" t="s">
        <v>95</v>
      </c>
    </row>
    <row r="22" spans="1:6" x14ac:dyDescent="0.25">
      <c r="A22" s="66">
        <v>45055</v>
      </c>
      <c r="B22" s="67">
        <f t="shared" si="0"/>
        <v>19</v>
      </c>
      <c r="C22" s="68" t="s">
        <v>58</v>
      </c>
      <c r="D22" s="69">
        <v>0.16666666666666666</v>
      </c>
      <c r="E22" s="79" t="s">
        <v>96</v>
      </c>
      <c r="F22" s="70" t="s">
        <v>97</v>
      </c>
    </row>
    <row r="23" spans="1:6" x14ac:dyDescent="0.25">
      <c r="A23" s="66">
        <v>45055</v>
      </c>
      <c r="B23" s="67">
        <f t="shared" si="0"/>
        <v>19</v>
      </c>
      <c r="C23" s="68" t="s">
        <v>66</v>
      </c>
      <c r="D23" s="69">
        <v>9.7222222222222224E-2</v>
      </c>
      <c r="E23" s="79" t="s">
        <v>98</v>
      </c>
      <c r="F23" s="70"/>
    </row>
    <row r="24" spans="1:6" ht="30" x14ac:dyDescent="0.25">
      <c r="A24" s="66">
        <v>45055</v>
      </c>
      <c r="B24" s="67">
        <f t="shared" si="0"/>
        <v>19</v>
      </c>
      <c r="C24" s="68" t="s">
        <v>88</v>
      </c>
      <c r="D24" s="69">
        <v>3.125E-2</v>
      </c>
      <c r="E24" s="79" t="s">
        <v>99</v>
      </c>
      <c r="F24" s="70"/>
    </row>
    <row r="25" spans="1:6" ht="30" x14ac:dyDescent="0.25">
      <c r="A25" s="66">
        <v>45055</v>
      </c>
      <c r="B25" s="67">
        <f t="shared" si="0"/>
        <v>19</v>
      </c>
      <c r="C25" s="68" t="s">
        <v>71</v>
      </c>
      <c r="D25" s="69">
        <v>3.472222222222222E-3</v>
      </c>
      <c r="E25" s="79" t="s">
        <v>100</v>
      </c>
      <c r="F25" s="70"/>
    </row>
    <row r="26" spans="1:6" ht="30" x14ac:dyDescent="0.25">
      <c r="A26" s="66">
        <v>45056</v>
      </c>
      <c r="B26" s="67">
        <f t="shared" si="0"/>
        <v>19</v>
      </c>
      <c r="C26" s="68" t="s">
        <v>69</v>
      </c>
      <c r="D26" s="69">
        <v>0.16666666666666666</v>
      </c>
      <c r="E26" s="79" t="s">
        <v>101</v>
      </c>
      <c r="F26" s="70"/>
    </row>
    <row r="27" spans="1:6" x14ac:dyDescent="0.25">
      <c r="A27" s="66">
        <v>45057</v>
      </c>
      <c r="B27" s="67">
        <f t="shared" si="0"/>
        <v>19</v>
      </c>
      <c r="C27" s="68" t="s">
        <v>57</v>
      </c>
      <c r="D27" s="69">
        <v>0.22222222222222221</v>
      </c>
      <c r="E27" s="79" t="s">
        <v>102</v>
      </c>
      <c r="F27" s="70" t="s">
        <v>103</v>
      </c>
    </row>
    <row r="28" spans="1:6" x14ac:dyDescent="0.25">
      <c r="A28" s="66">
        <v>45057</v>
      </c>
      <c r="B28" s="67">
        <f t="shared" si="0"/>
        <v>19</v>
      </c>
      <c r="C28" s="68" t="s">
        <v>28</v>
      </c>
      <c r="D28" s="69">
        <v>6.5972222222222224E-2</v>
      </c>
      <c r="E28" s="79" t="s">
        <v>104</v>
      </c>
      <c r="F28" s="70"/>
    </row>
    <row r="29" spans="1:6" x14ac:dyDescent="0.25">
      <c r="A29" s="66">
        <v>45057</v>
      </c>
      <c r="B29" s="67">
        <f t="shared" si="0"/>
        <v>19</v>
      </c>
      <c r="C29" s="68" t="s">
        <v>71</v>
      </c>
      <c r="D29" s="69">
        <v>1.0416666666666666E-2</v>
      </c>
      <c r="E29" s="79" t="s">
        <v>105</v>
      </c>
      <c r="F29" s="70"/>
    </row>
    <row r="30" spans="1:6" x14ac:dyDescent="0.25">
      <c r="A30" s="66">
        <v>45061</v>
      </c>
      <c r="B30" s="67">
        <f t="shared" si="0"/>
        <v>20</v>
      </c>
      <c r="C30" s="68" t="s">
        <v>57</v>
      </c>
      <c r="D30" s="69">
        <v>0.23263888888888887</v>
      </c>
      <c r="E30" s="79" t="s">
        <v>106</v>
      </c>
      <c r="F30" s="70"/>
    </row>
    <row r="31" spans="1:6" x14ac:dyDescent="0.25">
      <c r="A31" s="66">
        <v>45062</v>
      </c>
      <c r="B31" s="67">
        <f t="shared" si="0"/>
        <v>20</v>
      </c>
      <c r="C31" s="68" t="s">
        <v>55</v>
      </c>
      <c r="D31" s="69">
        <v>0.20138888888888887</v>
      </c>
      <c r="E31" s="79" t="s">
        <v>110</v>
      </c>
      <c r="F31" s="70"/>
    </row>
    <row r="32" spans="1:6" x14ac:dyDescent="0.25">
      <c r="A32" s="66">
        <v>45062</v>
      </c>
      <c r="B32" s="67">
        <f t="shared" si="0"/>
        <v>20</v>
      </c>
      <c r="C32" s="68" t="s">
        <v>88</v>
      </c>
      <c r="D32" s="69">
        <v>2.0833333333333332E-2</v>
      </c>
      <c r="E32" s="79" t="s">
        <v>109</v>
      </c>
      <c r="F32" s="70"/>
    </row>
    <row r="33" spans="1:6" ht="30" x14ac:dyDescent="0.25">
      <c r="A33" s="66">
        <v>45062</v>
      </c>
      <c r="B33" s="67">
        <f t="shared" si="0"/>
        <v>20</v>
      </c>
      <c r="C33" s="68" t="s">
        <v>55</v>
      </c>
      <c r="D33" s="69">
        <v>7.6388888888888895E-2</v>
      </c>
      <c r="E33" s="79" t="s">
        <v>107</v>
      </c>
      <c r="F33" s="70" t="s">
        <v>108</v>
      </c>
    </row>
    <row r="34" spans="1:6" x14ac:dyDescent="0.25">
      <c r="A34" s="66">
        <v>45063</v>
      </c>
      <c r="B34" s="67">
        <f t="shared" si="0"/>
        <v>20</v>
      </c>
      <c r="C34" s="68" t="s">
        <v>55</v>
      </c>
      <c r="D34" s="69">
        <v>5.5555555555555552E-2</v>
      </c>
      <c r="E34" s="79" t="s">
        <v>111</v>
      </c>
      <c r="F34" s="70" t="s">
        <v>112</v>
      </c>
    </row>
    <row r="35" spans="1:6" ht="30" x14ac:dyDescent="0.25">
      <c r="A35" s="66">
        <v>45063</v>
      </c>
      <c r="B35" s="67">
        <f t="shared" si="0"/>
        <v>20</v>
      </c>
      <c r="C35" s="68" t="s">
        <v>28</v>
      </c>
      <c r="D35" s="69">
        <v>0.10069444444444443</v>
      </c>
      <c r="E35" s="79" t="s">
        <v>113</v>
      </c>
      <c r="F35" s="70"/>
    </row>
    <row r="36" spans="1:6" x14ac:dyDescent="0.25">
      <c r="A36" s="66">
        <v>45063</v>
      </c>
      <c r="B36" s="67">
        <f t="shared" si="0"/>
        <v>20</v>
      </c>
      <c r="C36" s="68" t="s">
        <v>71</v>
      </c>
      <c r="D36" s="69">
        <v>1.0416666666666666E-2</v>
      </c>
      <c r="E36" s="79" t="s">
        <v>114</v>
      </c>
      <c r="F36" s="70"/>
    </row>
    <row r="37" spans="1:6" ht="15.75" customHeight="1" x14ac:dyDescent="0.25">
      <c r="A37" s="66">
        <v>45068</v>
      </c>
      <c r="B37" s="67">
        <f t="shared" si="0"/>
        <v>21</v>
      </c>
      <c r="C37" s="68" t="s">
        <v>69</v>
      </c>
      <c r="D37" s="69">
        <v>0.23263888888888887</v>
      </c>
      <c r="E37" s="79" t="s">
        <v>115</v>
      </c>
      <c r="F37" s="70" t="s">
        <v>116</v>
      </c>
    </row>
    <row r="38" spans="1:6" ht="45" x14ac:dyDescent="0.25">
      <c r="A38" s="66">
        <v>45069</v>
      </c>
      <c r="B38" s="67">
        <f t="shared" ref="B38:B102" si="1">WEEKNUM(A38,1)</f>
        <v>21</v>
      </c>
      <c r="C38" s="68" t="s">
        <v>56</v>
      </c>
      <c r="D38" s="69">
        <v>0.28819444444444448</v>
      </c>
      <c r="E38" s="79" t="s">
        <v>117</v>
      </c>
      <c r="F38" s="70"/>
    </row>
    <row r="39" spans="1:6" x14ac:dyDescent="0.25">
      <c r="A39" s="66">
        <v>45069</v>
      </c>
      <c r="B39" s="67">
        <f t="shared" si="1"/>
        <v>21</v>
      </c>
      <c r="C39" s="68" t="s">
        <v>71</v>
      </c>
      <c r="D39" s="69">
        <v>1.0416666666666666E-2</v>
      </c>
      <c r="E39" s="79" t="s">
        <v>118</v>
      </c>
      <c r="F39" s="70"/>
    </row>
    <row r="40" spans="1:6" x14ac:dyDescent="0.25">
      <c r="A40" s="66">
        <v>45070</v>
      </c>
      <c r="B40" s="67">
        <f t="shared" si="1"/>
        <v>21</v>
      </c>
      <c r="C40" s="68" t="s">
        <v>69</v>
      </c>
      <c r="D40" s="69">
        <v>3.4722222222222224E-2</v>
      </c>
      <c r="E40" s="79" t="s">
        <v>119</v>
      </c>
      <c r="F40" s="70" t="s">
        <v>120</v>
      </c>
    </row>
    <row r="41" spans="1:6" ht="45" x14ac:dyDescent="0.25">
      <c r="A41" s="66">
        <v>45070</v>
      </c>
      <c r="B41" s="67">
        <f t="shared" si="1"/>
        <v>21</v>
      </c>
      <c r="C41" s="68" t="s">
        <v>28</v>
      </c>
      <c r="D41" s="69">
        <v>0.13194444444444445</v>
      </c>
      <c r="E41" s="79" t="s">
        <v>121</v>
      </c>
      <c r="F41" s="70"/>
    </row>
    <row r="42" spans="1:6" x14ac:dyDescent="0.25">
      <c r="A42" s="66">
        <v>45071</v>
      </c>
      <c r="B42" s="67">
        <f t="shared" si="1"/>
        <v>21</v>
      </c>
      <c r="C42" s="68" t="s">
        <v>28</v>
      </c>
      <c r="D42" s="69">
        <v>0.16666666666666666</v>
      </c>
      <c r="E42" s="79" t="s">
        <v>122</v>
      </c>
      <c r="F42" s="70"/>
    </row>
    <row r="43" spans="1:6" x14ac:dyDescent="0.25">
      <c r="A43" s="66">
        <v>45071</v>
      </c>
      <c r="B43" s="67">
        <f t="shared" si="1"/>
        <v>21</v>
      </c>
      <c r="C43" s="68" t="s">
        <v>56</v>
      </c>
      <c r="D43" s="69">
        <v>6.5972222222222224E-2</v>
      </c>
      <c r="E43" s="79" t="s">
        <v>123</v>
      </c>
      <c r="F43" s="70"/>
    </row>
    <row r="44" spans="1:6" ht="30" x14ac:dyDescent="0.25">
      <c r="A44" s="66">
        <v>45071</v>
      </c>
      <c r="B44" s="67">
        <f t="shared" si="1"/>
        <v>21</v>
      </c>
      <c r="C44" s="68" t="s">
        <v>88</v>
      </c>
      <c r="D44" s="69">
        <v>6.5972222222222224E-2</v>
      </c>
      <c r="E44" s="79" t="s">
        <v>124</v>
      </c>
      <c r="F44" s="70"/>
    </row>
    <row r="45" spans="1:6" ht="30" x14ac:dyDescent="0.25">
      <c r="A45" s="66">
        <v>45075</v>
      </c>
      <c r="B45" s="67">
        <f t="shared" si="1"/>
        <v>22</v>
      </c>
      <c r="C45" s="68" t="s">
        <v>88</v>
      </c>
      <c r="D45" s="69">
        <v>0.125</v>
      </c>
      <c r="E45" s="79" t="s">
        <v>125</v>
      </c>
      <c r="F45" s="70" t="s">
        <v>126</v>
      </c>
    </row>
    <row r="46" spans="1:6" x14ac:dyDescent="0.25">
      <c r="A46" s="66">
        <v>45076</v>
      </c>
      <c r="B46" s="67">
        <f t="shared" si="1"/>
        <v>22</v>
      </c>
      <c r="C46" s="68" t="s">
        <v>28</v>
      </c>
      <c r="D46" s="69">
        <v>6.5972222222222224E-2</v>
      </c>
      <c r="E46" s="79" t="s">
        <v>127</v>
      </c>
      <c r="F46" s="70"/>
    </row>
    <row r="47" spans="1:6" x14ac:dyDescent="0.25">
      <c r="A47" s="66">
        <v>45076</v>
      </c>
      <c r="B47" s="67">
        <f t="shared" si="1"/>
        <v>22</v>
      </c>
      <c r="C47" s="68" t="s">
        <v>57</v>
      </c>
      <c r="D47" s="69">
        <v>6.5972222222222224E-2</v>
      </c>
      <c r="E47" s="79" t="s">
        <v>128</v>
      </c>
      <c r="F47" s="70"/>
    </row>
    <row r="48" spans="1:6" ht="30" x14ac:dyDescent="0.25">
      <c r="A48" s="66">
        <v>45076</v>
      </c>
      <c r="B48" s="67">
        <f t="shared" si="1"/>
        <v>22</v>
      </c>
      <c r="C48" s="68" t="s">
        <v>59</v>
      </c>
      <c r="D48" s="69">
        <v>3.4722222222222224E-2</v>
      </c>
      <c r="E48" s="79" t="s">
        <v>129</v>
      </c>
      <c r="F48" s="70"/>
    </row>
    <row r="49" spans="1:6" x14ac:dyDescent="0.25">
      <c r="A49" s="66">
        <v>45076</v>
      </c>
      <c r="B49" s="67">
        <f t="shared" si="1"/>
        <v>22</v>
      </c>
      <c r="C49" s="68" t="s">
        <v>60</v>
      </c>
      <c r="D49" s="69">
        <v>6.5972222222222224E-2</v>
      </c>
      <c r="E49" s="79" t="s">
        <v>130</v>
      </c>
      <c r="F49" s="70"/>
    </row>
    <row r="50" spans="1:6" x14ac:dyDescent="0.25">
      <c r="A50" s="66">
        <v>45076</v>
      </c>
      <c r="B50" s="67">
        <f t="shared" si="1"/>
        <v>22</v>
      </c>
      <c r="C50" s="68" t="s">
        <v>28</v>
      </c>
      <c r="D50" s="69">
        <v>6.5972222222222224E-2</v>
      </c>
      <c r="E50" s="79" t="s">
        <v>127</v>
      </c>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si="1"/>
        <v>0</v>
      </c>
      <c r="C102" s="68"/>
      <c r="D102" s="69"/>
      <c r="E102" s="79"/>
      <c r="F102" s="70"/>
    </row>
    <row r="103" spans="1:6" x14ac:dyDescent="0.25">
      <c r="A103" s="66"/>
      <c r="B103" s="67">
        <f t="shared" ref="B103:B166" si="2">WEEKNUM(A103,1)</f>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si="2"/>
        <v>0</v>
      </c>
      <c r="C166" s="68"/>
      <c r="D166" s="69"/>
      <c r="E166" s="79"/>
      <c r="F166" s="70"/>
    </row>
    <row r="167" spans="1:6" x14ac:dyDescent="0.25">
      <c r="A167" s="66"/>
      <c r="B167" s="67">
        <f t="shared" ref="B167:B230" si="3">WEEKNUM(A167,1)</f>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si="3"/>
        <v>0</v>
      </c>
      <c r="C230" s="68"/>
      <c r="D230" s="69"/>
      <c r="E230" s="79"/>
      <c r="F230" s="70"/>
    </row>
    <row r="231" spans="1:6" x14ac:dyDescent="0.25">
      <c r="A231" s="66"/>
      <c r="B231" s="67">
        <f t="shared" ref="B231:B294" si="4">WEEKNUM(A231,1)</f>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si="4"/>
        <v>0</v>
      </c>
      <c r="C294" s="68"/>
      <c r="D294" s="69"/>
      <c r="E294" s="79"/>
      <c r="F294" s="70"/>
    </row>
    <row r="295" spans="1:6" x14ac:dyDescent="0.25">
      <c r="A295" s="66"/>
      <c r="B295" s="67">
        <f t="shared" ref="B295:B358" si="5">WEEKNUM(A295,1)</f>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si="5"/>
        <v>0</v>
      </c>
      <c r="C358" s="68"/>
      <c r="D358" s="69"/>
      <c r="E358" s="79"/>
      <c r="F358" s="70"/>
    </row>
    <row r="359" spans="1:6" x14ac:dyDescent="0.25">
      <c r="A359" s="66"/>
      <c r="B359" s="67">
        <f t="shared" ref="B359:B422" si="6">WEEKNUM(A359,1)</f>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si="6"/>
        <v>0</v>
      </c>
      <c r="C422" s="68"/>
      <c r="D422" s="69"/>
      <c r="E422" s="79"/>
      <c r="F422" s="70"/>
    </row>
    <row r="423" spans="1:6" x14ac:dyDescent="0.25">
      <c r="A423" s="66"/>
      <c r="B423" s="67">
        <f t="shared" ref="B423:B486" si="7">WEEKNUM(A423,1)</f>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si="7"/>
        <v>0</v>
      </c>
      <c r="C486" s="68"/>
      <c r="D486" s="69"/>
      <c r="E486" s="79"/>
      <c r="F486" s="70"/>
    </row>
    <row r="487" spans="1:6" x14ac:dyDescent="0.25">
      <c r="A487" s="66"/>
      <c r="B487" s="67">
        <f t="shared" ref="B487:B550" si="8">WEEKNUM(A487,1)</f>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si="8"/>
        <v>0</v>
      </c>
      <c r="C550" s="68"/>
      <c r="D550" s="69"/>
      <c r="E550" s="79"/>
      <c r="F550" s="70"/>
    </row>
    <row r="551" spans="1:6" x14ac:dyDescent="0.25">
      <c r="A551" s="66"/>
      <c r="B551" s="67">
        <f t="shared" ref="B551:B614" si="9">WEEKNUM(A551,1)</f>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si="9"/>
        <v>0</v>
      </c>
      <c r="C614" s="68"/>
      <c r="D614" s="69"/>
      <c r="E614" s="79"/>
      <c r="F614" s="70"/>
    </row>
    <row r="615" spans="1:6" x14ac:dyDescent="0.25">
      <c r="A615" s="66"/>
      <c r="B615" s="67">
        <f t="shared" ref="B615:B678" si="10">WEEKNUM(A615,1)</f>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si="10"/>
        <v>0</v>
      </c>
      <c r="C678" s="68"/>
      <c r="D678" s="69"/>
      <c r="E678" s="79"/>
      <c r="F678" s="70"/>
    </row>
    <row r="679" spans="1:6" x14ac:dyDescent="0.25">
      <c r="A679" s="66"/>
      <c r="B679" s="67">
        <f t="shared" ref="B679:B729" si="11">WEEKNUM(A679,1)</f>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row r="729" spans="1:6" x14ac:dyDescent="0.25">
      <c r="A729" s="66"/>
      <c r="B729" s="67">
        <f t="shared" si="11"/>
        <v>0</v>
      </c>
      <c r="C729" s="68"/>
      <c r="D729" s="69"/>
      <c r="E729" s="79"/>
      <c r="F729"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2023-05-30T14:43:15Z</dcterms:modified>
</cp:coreProperties>
</file>