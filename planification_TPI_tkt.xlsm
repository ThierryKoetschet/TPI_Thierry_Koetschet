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Planning!$A$1:$R$88</definedName>
  </definedNames>
  <calcPr calcId="162913" concurrentCalc="0"/>
</workbook>
</file>

<file path=xl/calcChain.xml><?xml version="1.0" encoding="utf-8"?>
<calcChain xmlns="http://schemas.openxmlformats.org/spreadsheetml/2006/main">
  <c r="D2" i="1" l="1"/>
  <c r="F2" i="1"/>
  <c r="H2" i="1"/>
  <c r="F6" i="1"/>
  <c r="B35" i="1"/>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<sst xmlns="http://schemas.openxmlformats.org/spreadsheetml/2006/main" count="77" uniqueCount="75">
  <si>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</si>
  <si>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</si>
  <si>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</si>
  <si>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</si>
  <si>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</si>
  <si>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</si>
  <si>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</si>
  <si>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</si>
  <si>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</si>
  <si>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</si>
  <si>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</si>
  <si>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</si>
  <si>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</si>
  <si>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</si>
  <si>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</si>
  <si>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</si>
  <si>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</si>
  <si>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</si>
  <si>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</si>
  <si>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</si>
  <si>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</si>
  <si>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</si>
  <si>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Développement d'une application mobile multiplateforme</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</si>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</sst>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9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B1" zoomScale="80" zoomScaleNormal="80" workbookViewId="0">
      <selection activeCell="G11" sqref="G11"/>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22</v>
      </c>
      <c r="B4" s="14">
        <v>45048</v>
      </c>
      <c r="C4" s="63" t="s">
        <v>14</v>
      </c>
      <c r="D4" s="15" t="s">
        <v>15</v>
      </c>
      <c r="E4" s="8"/>
      <c r="F4" s="11" t="s">
        <v>43</v>
      </c>
      <c r="G4" s="16" t="s">
        <v>69</v>
      </c>
      <c r="H4" s="8"/>
    </row>
    <row r="5" spans="1:8" x14ac:dyDescent="0.25">
      <c r="A5" s="92"/>
      <c r="B5" s="8"/>
      <c r="C5" s="8"/>
      <c r="D5" s="8"/>
      <c r="E5" s="8"/>
      <c r="F5" s="6"/>
      <c r="G5" s="17" t="s">
        <v>70</v>
      </c>
      <c r="H5" s="8"/>
    </row>
    <row r="6" spans="1:8" x14ac:dyDescent="0.25">
      <c r="A6" s="93"/>
      <c r="B6" s="8"/>
      <c r="C6" s="8"/>
      <c r="D6" s="8"/>
      <c r="E6" s="8"/>
      <c r="F6" s="6"/>
      <c r="G6" s="17" t="s">
        <v>52</v>
      </c>
      <c r="H6" s="8"/>
    </row>
    <row r="7" spans="1:8" x14ac:dyDescent="0.25">
      <c r="A7" s="8"/>
      <c r="B7" s="8"/>
      <c r="C7" s="8"/>
      <c r="D7" s="8"/>
      <c r="E7" s="8"/>
      <c r="F7" s="6"/>
      <c r="G7" s="17" t="s">
        <v>56</v>
      </c>
      <c r="H7" s="8"/>
    </row>
    <row r="8" spans="1:8" x14ac:dyDescent="0.25">
      <c r="A8" s="8"/>
      <c r="B8" s="8"/>
      <c r="C8" s="8"/>
      <c r="D8" s="8"/>
      <c r="E8" s="8"/>
      <c r="F8" s="6"/>
      <c r="G8" s="17" t="s">
        <v>55</v>
      </c>
      <c r="H8" s="8"/>
    </row>
    <row r="9" spans="1:8" x14ac:dyDescent="0.25">
      <c r="A9" s="8"/>
      <c r="B9" s="8"/>
      <c r="C9" s="8"/>
      <c r="D9" s="8"/>
      <c r="E9" s="8"/>
      <c r="F9" s="6"/>
      <c r="G9" s="12" t="s">
        <v>51</v>
      </c>
      <c r="H9" s="8"/>
    </row>
    <row r="10" spans="1:8" x14ac:dyDescent="0.25">
      <c r="A10" s="8"/>
      <c r="B10" s="8"/>
      <c r="C10" s="8"/>
      <c r="D10" s="8"/>
      <c r="E10" s="8"/>
      <c r="F10" s="6"/>
      <c r="G10" s="12" t="s">
        <v>50</v>
      </c>
      <c r="H10" s="8"/>
    </row>
    <row r="11" spans="1:8" x14ac:dyDescent="0.25">
      <c r="A11" s="8"/>
      <c r="B11" s="8"/>
      <c r="C11" s="8"/>
      <c r="D11" s="8"/>
      <c r="E11" s="8"/>
      <c r="F11" s="6"/>
      <c r="G11" s="12" t="s">
        <v>49</v>
      </c>
      <c r="H11" s="8"/>
    </row>
    <row r="12" spans="1:8" x14ac:dyDescent="0.25">
      <c r="A12" s="8"/>
      <c r="B12" s="8"/>
      <c r="C12" s="8"/>
      <c r="D12" s="8"/>
      <c r="E12" s="8"/>
      <c r="F12" s="6"/>
      <c r="G12" s="12" t="s">
        <v>48</v>
      </c>
      <c r="H12" s="8"/>
    </row>
    <row r="13" spans="1:8" x14ac:dyDescent="0.25">
      <c r="A13" s="8"/>
      <c r="B13" s="8"/>
      <c r="C13" s="8"/>
      <c r="D13" s="8"/>
      <c r="E13" s="8"/>
      <c r="F13" s="11" t="s">
        <v>44</v>
      </c>
      <c r="G13" s="11" t="s">
        <v>53</v>
      </c>
      <c r="H13" s="8"/>
    </row>
    <row r="14" spans="1:8" x14ac:dyDescent="0.25">
      <c r="A14" s="8"/>
      <c r="B14" s="8"/>
      <c r="C14" s="8"/>
      <c r="D14" s="8"/>
      <c r="E14" s="8"/>
      <c r="F14" s="6"/>
      <c r="G14" s="12" t="s">
        <v>54</v>
      </c>
      <c r="H14" s="8"/>
    </row>
    <row r="15" spans="1:8" x14ac:dyDescent="0.25">
      <c r="A15" s="8"/>
      <c r="B15" s="8"/>
      <c r="C15" s="8"/>
      <c r="D15" s="8"/>
      <c r="E15" s="8"/>
      <c r="F15" s="6"/>
      <c r="G15" s="12" t="s">
        <v>23</v>
      </c>
      <c r="H15" s="8"/>
    </row>
    <row r="16" spans="1:8" x14ac:dyDescent="0.25">
      <c r="A16" s="8"/>
      <c r="B16" s="8"/>
      <c r="C16" s="8"/>
      <c r="D16" s="8"/>
      <c r="E16" s="8"/>
      <c r="F16" s="6"/>
      <c r="G16" s="12" t="s">
        <v>74</v>
      </c>
      <c r="H16" s="8"/>
    </row>
    <row r="17" spans="1:8" x14ac:dyDescent="0.25">
      <c r="A17" s="8"/>
      <c r="B17" s="8"/>
      <c r="C17" s="8"/>
      <c r="D17" s="8"/>
      <c r="E17" s="8"/>
      <c r="F17" s="6"/>
      <c r="G17" s="12" t="s">
        <v>68</v>
      </c>
      <c r="H17" s="8"/>
    </row>
    <row r="18" spans="1:8" x14ac:dyDescent="0.25">
      <c r="A18" s="8"/>
      <c r="B18" s="8"/>
      <c r="C18" s="8"/>
      <c r="D18" s="8"/>
      <c r="E18" s="8"/>
      <c r="F18" s="6"/>
      <c r="G18" s="12" t="s">
        <v>60</v>
      </c>
      <c r="H18" s="8"/>
    </row>
    <row r="19" spans="1:8" x14ac:dyDescent="0.25">
      <c r="A19" s="8"/>
      <c r="B19" s="8"/>
      <c r="C19" s="8"/>
      <c r="D19" s="8"/>
      <c r="E19" s="8"/>
      <c r="F19" s="6"/>
      <c r="G19" s="12" t="s">
        <v>57</v>
      </c>
      <c r="H19" s="8"/>
    </row>
    <row r="20" spans="1:8" x14ac:dyDescent="0.25">
      <c r="A20" s="8"/>
      <c r="B20" s="8"/>
      <c r="C20" s="8"/>
      <c r="D20" s="8"/>
      <c r="E20" s="8"/>
      <c r="F20" s="6"/>
      <c r="G20" s="12" t="s">
        <v>58</v>
      </c>
      <c r="H20" s="8"/>
    </row>
    <row r="21" spans="1:8" x14ac:dyDescent="0.25">
      <c r="A21" s="8"/>
      <c r="B21" s="8"/>
      <c r="C21" s="8"/>
      <c r="D21" s="8"/>
      <c r="E21" s="8"/>
      <c r="F21" s="6"/>
      <c r="G21" s="12" t="s">
        <v>59</v>
      </c>
      <c r="H21" s="8"/>
    </row>
    <row r="22" spans="1:8" x14ac:dyDescent="0.25">
      <c r="A22" s="8"/>
      <c r="B22" s="8"/>
      <c r="C22" s="8"/>
      <c r="D22" s="8"/>
      <c r="E22" s="8"/>
      <c r="F22" s="7"/>
      <c r="G22" s="12" t="s">
        <v>71</v>
      </c>
      <c r="H22" s="8"/>
    </row>
    <row r="23" spans="1:8" x14ac:dyDescent="0.25">
      <c r="A23" s="8"/>
      <c r="B23" s="8"/>
      <c r="C23" s="8"/>
      <c r="D23" s="8"/>
      <c r="E23" s="8"/>
      <c r="F23" s="11" t="s">
        <v>45</v>
      </c>
      <c r="G23" s="16" t="s">
        <v>63</v>
      </c>
      <c r="H23" s="8"/>
    </row>
    <row r="24" spans="1:8" x14ac:dyDescent="0.25">
      <c r="A24" s="8"/>
      <c r="B24" s="8"/>
      <c r="C24" s="8"/>
      <c r="D24" s="8"/>
      <c r="E24" s="8"/>
      <c r="F24" s="6"/>
      <c r="G24" s="17" t="s">
        <v>61</v>
      </c>
      <c r="H24" s="8"/>
    </row>
    <row r="25" spans="1:8" x14ac:dyDescent="0.25">
      <c r="A25" s="8"/>
      <c r="B25" s="8"/>
      <c r="C25" s="8"/>
      <c r="D25" s="8"/>
      <c r="E25" s="8"/>
      <c r="F25" s="6"/>
      <c r="G25" s="17" t="s">
        <v>62</v>
      </c>
      <c r="H25" s="8"/>
    </row>
    <row r="26" spans="1:8" x14ac:dyDescent="0.25">
      <c r="A26" s="8"/>
      <c r="B26" s="8"/>
      <c r="C26" s="8"/>
      <c r="D26" s="8"/>
      <c r="E26" s="8"/>
      <c r="F26" s="6"/>
      <c r="G26" s="17" t="s">
        <v>64</v>
      </c>
      <c r="H26" s="8"/>
    </row>
    <row r="27" spans="1:8" x14ac:dyDescent="0.25">
      <c r="A27" s="8"/>
      <c r="B27" s="8"/>
      <c r="C27" s="8"/>
      <c r="D27" s="8"/>
      <c r="E27" s="8"/>
      <c r="F27" s="6"/>
      <c r="G27" s="17" t="s">
        <v>65</v>
      </c>
      <c r="H27" s="8"/>
    </row>
    <row r="28" spans="1:8" x14ac:dyDescent="0.25">
      <c r="A28" s="8"/>
      <c r="B28" s="8"/>
      <c r="C28" s="8"/>
      <c r="D28" s="8"/>
      <c r="E28" s="8"/>
      <c r="F28" s="6"/>
      <c r="G28" s="17" t="s">
        <v>66</v>
      </c>
      <c r="H28" s="8"/>
    </row>
    <row r="29" spans="1:8" x14ac:dyDescent="0.25">
      <c r="A29" s="8"/>
      <c r="B29" s="8"/>
      <c r="C29" s="8"/>
      <c r="D29" s="8"/>
      <c r="E29" s="8"/>
      <c r="F29" s="6"/>
      <c r="G29" s="17" t="s">
        <v>67</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42</v>
      </c>
      <c r="G33" s="11" t="s">
        <v>72</v>
      </c>
      <c r="H33" s="8"/>
    </row>
    <row r="34" spans="1:8" x14ac:dyDescent="0.25">
      <c r="A34" s="8"/>
      <c r="B34" s="8"/>
      <c r="C34" s="8"/>
      <c r="D34" s="8"/>
      <c r="E34" s="8"/>
      <c r="F34" s="6"/>
      <c r="G34" s="12" t="s">
        <v>29</v>
      </c>
      <c r="H34" s="8"/>
    </row>
    <row r="35" spans="1:8" x14ac:dyDescent="0.25">
      <c r="A35" s="8"/>
      <c r="B35" s="8"/>
      <c r="C35" s="8"/>
      <c r="D35" s="8"/>
      <c r="E35" s="8"/>
      <c r="F35" s="6"/>
      <c r="G35" s="12" t="s">
        <v>73</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35</v>
      </c>
      <c r="G42" s="11" t="s">
        <v>40</v>
      </c>
      <c r="H42" s="8"/>
    </row>
    <row r="43" spans="1:8" x14ac:dyDescent="0.25">
      <c r="A43" s="8"/>
      <c r="B43" s="8"/>
      <c r="C43" s="8"/>
      <c r="D43" s="8"/>
      <c r="E43" s="8"/>
      <c r="F43" s="6"/>
      <c r="G43" s="12" t="s">
        <v>41</v>
      </c>
      <c r="H43" s="8"/>
    </row>
    <row r="44" spans="1:8" x14ac:dyDescent="0.25">
      <c r="A44" s="8"/>
      <c r="B44" s="8"/>
      <c r="C44" s="8"/>
      <c r="D44" s="8"/>
      <c r="E44" s="8"/>
      <c r="F44" s="6"/>
      <c r="G44" s="12" t="s">
        <v>32</v>
      </c>
      <c r="H44" s="8"/>
    </row>
    <row r="45" spans="1:8" x14ac:dyDescent="0.25">
      <c r="A45" s="8"/>
      <c r="B45" s="8"/>
      <c r="C45" s="8"/>
      <c r="D45" s="8"/>
      <c r="E45" s="8"/>
      <c r="F45" s="6"/>
      <c r="G45" s="12" t="s">
        <v>33</v>
      </c>
      <c r="H45" s="8"/>
    </row>
    <row r="46" spans="1:8" x14ac:dyDescent="0.25">
      <c r="A46" s="8"/>
      <c r="B46" s="8"/>
      <c r="C46" s="8"/>
      <c r="D46" s="8"/>
      <c r="E46" s="8"/>
      <c r="F46" s="6"/>
      <c r="G46" s="12" t="s">
        <v>34</v>
      </c>
      <c r="H46" s="8"/>
    </row>
    <row r="47" spans="1:8" x14ac:dyDescent="0.25">
      <c r="A47" s="8"/>
      <c r="B47" s="8"/>
      <c r="C47" s="8"/>
      <c r="D47" s="8"/>
      <c r="E47" s="8"/>
      <c r="F47" s="6"/>
      <c r="G47" s="12" t="s">
        <v>36</v>
      </c>
      <c r="H47" s="8"/>
    </row>
    <row r="48" spans="1:8" x14ac:dyDescent="0.25">
      <c r="A48" s="8"/>
      <c r="B48" s="8"/>
      <c r="C48" s="8"/>
      <c r="D48" s="8"/>
      <c r="E48" s="8"/>
      <c r="F48" s="6"/>
      <c r="G48" s="12" t="s">
        <v>37</v>
      </c>
      <c r="H48" s="8"/>
    </row>
    <row r="49" spans="1:8" x14ac:dyDescent="0.25">
      <c r="A49" s="8"/>
      <c r="B49" s="8"/>
      <c r="C49" s="8"/>
      <c r="D49" s="8"/>
      <c r="E49" s="8"/>
      <c r="F49" s="6"/>
      <c r="G49" s="12" t="s">
        <v>38</v>
      </c>
      <c r="H49" s="8"/>
    </row>
    <row r="50" spans="1:8" x14ac:dyDescent="0.25">
      <c r="A50" s="8"/>
      <c r="B50" s="8"/>
      <c r="C50" s="8"/>
      <c r="D50" s="8"/>
      <c r="E50" s="8"/>
      <c r="F50" s="7"/>
      <c r="G50" s="13" t="s">
        <v>39</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topLeftCell="A22" zoomScale="60" zoomScaleNormal="60" zoomScalePageLayoutView="70" workbookViewId="0">
      <selection activeCell="B35" sqref="B35"/>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Développement d'une application mobile multiplateforme</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2.0833333333333332E-2</v>
      </c>
      <c r="C4" s="22"/>
      <c r="D4" s="4">
        <f>SUMIF($C$9:$C$108,$A4,D$9:D$108)</f>
        <v>2.0833333333333332E-2</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IF(SUM(D9:P9)=0,"",SUM(D9:P9))</f>
        <v>0.125</v>
      </c>
    </row>
    <row r="10" spans="1:17" ht="15" customHeight="1" thickBot="1" x14ac:dyDescent="0.3">
      <c r="B10" s="40"/>
      <c r="C10" s="61" t="str">
        <f>A4</f>
        <v>Koetschet</v>
      </c>
      <c r="D10" s="41">
        <f>SUMIFS(Journal!$D$4:$D$9969,Journal!$B$4:$B$9969,D$6,Journal!$C$4:$C$9969,$B9)</f>
        <v>0</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t="str">
        <f>IF(SUM(D10:P10)=0,"",SUM(D10:P10))</f>
        <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IF(SUM(D11:P11)=0,"",SUM(D11:P11))</f>
        <v>3.125E-2</v>
      </c>
    </row>
    <row r="12" spans="1:17" ht="15" customHeight="1" thickBot="1" x14ac:dyDescent="0.3">
      <c r="B12" s="40"/>
      <c r="C12" s="61" t="str">
        <f>A4</f>
        <v>Koetschet</v>
      </c>
      <c r="D12" s="41">
        <f>SUMIFS(Journal!$D$4:$D$9969,Journal!$B$4:$B$9969,D$6,Journal!$C$4:$C$9969,$B11)</f>
        <v>0</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t="str">
        <f>IF(SUM(D12:P12)=0,"",SUM(D12:P12))</f>
        <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IF(SUM(D13:P13)=0,"",SUM(D13:P13))</f>
        <v>0.125</v>
      </c>
    </row>
    <row r="14" spans="1:17" ht="15" customHeight="1" thickBot="1" x14ac:dyDescent="0.3">
      <c r="B14" s="40"/>
      <c r="C14" s="61" t="str">
        <f>A4</f>
        <v>Koetschet</v>
      </c>
      <c r="D14" s="41">
        <f>SUMIFS(Journal!$D$4:$D$9969,Journal!$B$4:$B$9969,D$6,Journal!$C$4:$C$9969,$B13)</f>
        <v>0</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t="str">
        <f>IF(SUM(D14:P14)=0,"",SUM(D14:P14))</f>
        <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IF(SUM(D15:P15)=0,"",SUM(D15:P15))</f>
        <v>0.125</v>
      </c>
    </row>
    <row r="16" spans="1:17" ht="15" customHeight="1" thickBot="1" x14ac:dyDescent="0.3">
      <c r="B16" s="40"/>
      <c r="C16" s="61" t="str">
        <f>A4</f>
        <v>Koetschet</v>
      </c>
      <c r="D16" s="41">
        <f>SUMIFS(Journal!$D$4:$D$9969,Journal!$B$4:$B$9969,D$6,Journal!$C$4:$C$9969,$B15)</f>
        <v>0</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t="str">
        <f>IF(SUM(D16:P16)=0,"",SUM(D16:P16))</f>
        <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IF(SUM(D17:P17)=0,"",SUM(D17:P17))</f>
        <v>0.125</v>
      </c>
    </row>
    <row r="18" spans="1:17" ht="15" customHeight="1" thickBot="1" x14ac:dyDescent="0.3">
      <c r="B18" s="40"/>
      <c r="C18" s="61" t="str">
        <f>A4</f>
        <v>Koetschet</v>
      </c>
      <c r="D18" s="41">
        <f>SUMIFS(Journal!$D$4:$D$9969,Journal!$B$4:$B$9969,D$6,Journal!$C$4:$C$9969,$B17)</f>
        <v>0</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t="str">
        <f>IF(SUM(D18:P18)=0,"",SUM(D18:P18))</f>
        <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IF(SUM(D19:P19)=0,"",SUM(D19:P19))</f>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IF(SUM(D20:P20)=0,"",SUM(D20:P20))</f>
        <v/>
      </c>
    </row>
    <row r="21" spans="1:17" ht="15" customHeight="1" x14ac:dyDescent="0.25">
      <c r="B21" s="5" t="str">
        <f>Base!G10</f>
        <v>17 -</v>
      </c>
      <c r="C21" s="37" t="str">
        <f>A$3</f>
        <v>Prévu</v>
      </c>
      <c r="D21" s="45"/>
      <c r="E21" s="38"/>
      <c r="F21" s="45"/>
      <c r="G21" s="38"/>
      <c r="I21" s="38"/>
      <c r="J21" s="45"/>
      <c r="K21" s="38"/>
      <c r="L21" s="45"/>
      <c r="M21" s="38"/>
      <c r="N21" s="45"/>
      <c r="O21" s="38"/>
      <c r="P21" s="45"/>
      <c r="Q21" s="39" t="str">
        <f>IF(SUM(D21:P21)=0,"",SUM(D21:P21))</f>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IF(SUM(D22:P22)=0,"",SUM(D22:P22))</f>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IF(SUM(D23:P23)=0,"",SUM(D23:P23))</f>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IF(SUM(D24:P24)=0,"",SUM(D24:P24))</f>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IF(SUM(D25:P25)=0,"",SUM(D25:P25))</f>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IF(SUM(D26:P26)=0,"",SUM(D26:P26))</f>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IF(SUM(D29:P29)=0,"",SUM(D29:P29))</f>
        <v>0.125</v>
      </c>
    </row>
    <row r="30" spans="1:17" ht="15" customHeight="1" thickBot="1" x14ac:dyDescent="0.3">
      <c r="B30" s="40"/>
      <c r="C30" s="61" t="str">
        <f>A4</f>
        <v>Koetschet</v>
      </c>
      <c r="D30" s="41">
        <f>SUMIFS(Journal!$D$4:$D$9969,Journal!$B$4:$B$9969,D$6,Journal!$C$4:$C$9969,$B29)</f>
        <v>0</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t="str">
        <f>IF(SUM(D30:P30)=0,"",SUM(D30:P30))</f>
        <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IF(SUM(D31:P31)=0,"",SUM(D31:P31))</f>
        <v>9.375E-2</v>
      </c>
    </row>
    <row r="32" spans="1:17" ht="15" customHeight="1" thickBot="1" x14ac:dyDescent="0.3">
      <c r="B32" s="40"/>
      <c r="C32" s="61" t="str">
        <f>A4</f>
        <v>Koetschet</v>
      </c>
      <c r="D32" s="41">
        <f>SUMIFS(Journal!$D$4:$D$9969,Journal!$B$4:$B$9969,D$6,Journal!$C$4:$C$9969,$B31)</f>
        <v>0</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t="str">
        <f>IF(SUM(D32:P32)=0,"",SUM(D32:P32))</f>
        <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IF(SUM(D33:P33)=0,"",SUM(D33:P33))</f>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IF(SUM(D34:P34)=0,"",SUM(D34:P34))</f>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IF(SUM(D35:P35)=0,"",SUM(D35:P35))</f>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IF(SUM(D36:P36)=0,"",SUM(D36:P36))</f>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IF(SUM(D37:P37)=0,"",SUM(D37:P37))</f>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IF(SUM(D38:P38)=0,"",SUM(D38:P38))</f>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IF(SUM(D39:P39)=0,"",SUM(D39:P39))</f>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IF(SUM(D40:P40)=0,"",SUM(D40:P40))</f>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IF(SUM(D41:P41)=0,"",SUM(D41:P41))</f>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IF(SUM(D42:P42)=0,"",SUM(D42:P42))</f>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IF(SUM(D43:P43)=0,"",SUM(D43:P43))</f>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IF(SUM(D44:P44)=0,"",SUM(D44:P44))</f>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IF(SUM(D45:P45)=0,"",SUM(D45:P45))</f>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IF(SUM(D46:P46)=0,"",SUM(D46:P46))</f>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IF(SUM(D47:P47)=0,"",SUM(D47:P47))</f>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IF(SUM(D48:P48)=0,"",SUM(D48:P48))</f>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IF(SUM(D52:P52)=0,"",SUM(D52:P52))</f>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IF(SUM(D53:P53)=0,"",SUM(D53:P53))</f>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IF(SUM(D54:P54)=0,"",SUM(D54:P54))</f>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IF(SUM(D55:P55)=0,"",SUM(D55:P55))</f>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IF(SUM(D56:P56)=0,"",SUM(D56:P56))</f>
        <v/>
      </c>
    </row>
    <row r="57" spans="1:17" ht="15" customHeight="1" x14ac:dyDescent="0.25">
      <c r="B57" s="5" t="str">
        <f>Base!G26</f>
        <v>34 -</v>
      </c>
      <c r="C57" s="37" t="str">
        <f>A$3</f>
        <v>Prévu</v>
      </c>
      <c r="D57" s="45"/>
      <c r="E57" s="38"/>
      <c r="F57" s="45"/>
      <c r="G57" s="38"/>
      <c r="H57" s="45"/>
      <c r="I57" s="38"/>
      <c r="J57" s="45"/>
      <c r="K57" s="38"/>
      <c r="M57" s="38"/>
      <c r="N57" s="45"/>
      <c r="O57" s="38"/>
      <c r="P57" s="45"/>
      <c r="Q57" s="39" t="str">
        <f>IF(SUM(D57:P57)=0,"",SUM(D57:P57))</f>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IF(SUM(D58:P58)=0,"",SUM(D58:P58))</f>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IF(SUM(D59:P59)=0,"",SUM(D59:P59))</f>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IF(SUM(D60:P60)=0,"",SUM(D60:P60))</f>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IF(SUM(D61:P61)=0,"",SUM(D61:P61))</f>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IF(SUM(D62:P62)=0,"",SUM(D62:P62))</f>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IF(SUM(D63:P63)=0,"",SUM(D63:P63))</f>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IF(SUM(D64:P64)=0,"",SUM(D64:P64))</f>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IF(SUM(D65:P65)=0,"",SUM(D65:P65))</f>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IF(SUM(D66:P66)=0,"",SUM(D66:P66))</f>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IF(SUM(D67:P67)=0,"",SUM(D67:P67))</f>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IF(SUM(D68:P68)=0,"",SUM(D68:P68))</f>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IF(SUM(D71:P71)=0,"",SUM(D71:P71))</f>
        <v>0.125</v>
      </c>
    </row>
    <row r="72" spans="1:17" ht="15" customHeight="1" thickBot="1" x14ac:dyDescent="0.3">
      <c r="B72" s="40"/>
      <c r="C72" s="61" t="str">
        <f>A4</f>
        <v>Koetschet</v>
      </c>
      <c r="D72" s="41">
        <f>SUMIFS(Journal!$D$4:$D$9969,Journal!$B$4:$B$9969,D$6,Journal!$C$4:$C$9969,$B71)</f>
        <v>0</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t="str">
        <f>IF(SUM(D72:P72)=0,"",SUM(D72:P72))</f>
        <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IF(SUM(D73:P73)=0,"",SUM(D73:P73))</f>
        <v>0.69791666666666663</v>
      </c>
    </row>
    <row r="74" spans="1:17" ht="15" customHeight="1" thickBot="1" x14ac:dyDescent="0.3">
      <c r="B74" s="40"/>
      <c r="C74" s="61" t="str">
        <f>A4</f>
        <v>Koetschet</v>
      </c>
      <c r="D74" s="41">
        <f>SUMIFS(Journal!$D$4:$D$9969,Journal!$B$4:$B$9969,D$6,Journal!$C$4:$C$9969,$B73)</f>
        <v>0</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t="str">
        <f>IF(SUM(D74:P74)=0,"",SUM(D74:P74))</f>
        <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IF(SUM(D75:P75)=0,"",SUM(D75:P75))</f>
        <v>5.2083333333333329E-2</v>
      </c>
    </row>
    <row r="76" spans="1:17" ht="15" customHeight="1" thickBot="1" x14ac:dyDescent="0.3">
      <c r="B76" s="40"/>
      <c r="C76" s="80" t="str">
        <f>A4</f>
        <v>Koetschet</v>
      </c>
      <c r="D76" s="41">
        <f>SUMIFS(Journal!$D$4:$D$9969,Journal!$B$4:$B$9969,D$6,Journal!$C$4:$C$9969,$B75)</f>
        <v>0</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t="str">
        <f>IF(SUM(D76:P76)=0,"",SUM(D76:P76))</f>
        <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IF(SUM(D77:P77)=0,"",SUM(D77:P77))</f>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IF(SUM(D78:P78)=0,"",SUM(D78:P78))</f>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IF(SUM(D79:P79)=0,"",SUM(D79:P79))</f>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IF(SUM(D80:P80)=0,"",SUM(D80:P80))</f>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IF(SUM(D81:P81)=0,"",SUM(D81:P81))</f>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IF(SUM(D82:P82)=0,"",SUM(D82:P82))</f>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IF(SUM(D83:P83)=0,"",SUM(D83:P83))</f>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IF(SUM(D84:P84)=0,"",SUM(D84:P84))</f>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IF(SUM(D85:P85)=0,"",SUM(D85:P85))</f>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IF(SUM(D86:P86)=0,"",SUM(D86:P86))</f>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IF(SUM(D87:P87)=0,"",SUM(D87:P87))</f>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IF(SUM(D88:P88)=0,"",SUM(D88:P88))</f>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IF(SUM(D92:P92)=0,"",SUM(D92:P92))</f>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IF(SUM(D93:P93)=0,"",SUM(D93:P93))</f>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IF(SUM(D94:P94)=0,"",SUM(D94:P94))</f>
        <v/>
      </c>
    </row>
    <row r="95" spans="1:17" x14ac:dyDescent="0.25">
      <c r="B95" s="5" t="str">
        <f>Base!G44</f>
        <v>53 -</v>
      </c>
      <c r="C95" s="37" t="str">
        <f>A$3</f>
        <v>Prévu</v>
      </c>
      <c r="D95" s="45"/>
      <c r="E95" s="38"/>
      <c r="F95" s="45"/>
      <c r="G95" s="38"/>
      <c r="H95" s="45"/>
      <c r="I95" s="38"/>
      <c r="J95" s="45"/>
      <c r="K95" s="38"/>
      <c r="L95" s="45"/>
      <c r="M95" s="38"/>
      <c r="N95" s="45"/>
      <c r="O95" s="38"/>
      <c r="P95" s="45"/>
      <c r="Q95" s="39" t="str">
        <f>IF(SUM(D95:P95)=0,"",SUM(D95:P95))</f>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IF(SUM(D96:P96)=0,"",SUM(D96:P96))</f>
        <v/>
      </c>
    </row>
    <row r="97" spans="2:17" x14ac:dyDescent="0.25">
      <c r="B97" s="5" t="str">
        <f>Base!G45</f>
        <v>54 -</v>
      </c>
      <c r="C97" s="37" t="str">
        <f>A$3</f>
        <v>Prévu</v>
      </c>
      <c r="D97" s="45"/>
      <c r="E97" s="38"/>
      <c r="F97" s="45"/>
      <c r="G97" s="38"/>
      <c r="H97" s="45"/>
      <c r="I97" s="38"/>
      <c r="J97" s="45"/>
      <c r="K97" s="38"/>
      <c r="L97" s="45"/>
      <c r="M97" s="38"/>
      <c r="N97" s="45"/>
      <c r="O97" s="38"/>
      <c r="P97" s="45"/>
      <c r="Q97" s="39" t="str">
        <f>IF(SUM(D97:P97)=0,"",SUM(D97:P97))</f>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IF(SUM(D98:P98)=0,"",SUM(D98:P98))</f>
        <v/>
      </c>
    </row>
    <row r="99" spans="2:17" x14ac:dyDescent="0.25">
      <c r="B99" s="5" t="str">
        <f>Base!G46</f>
        <v>55 -</v>
      </c>
      <c r="C99" s="37" t="str">
        <f>A$3</f>
        <v>Prévu</v>
      </c>
      <c r="D99" s="45"/>
      <c r="E99" s="38"/>
      <c r="F99" s="45"/>
      <c r="G99" s="38"/>
      <c r="H99" s="45"/>
      <c r="I99" s="38"/>
      <c r="J99" s="45"/>
      <c r="K99" s="38"/>
      <c r="L99" s="45"/>
      <c r="M99" s="38"/>
      <c r="N99" s="45"/>
      <c r="O99" s="38"/>
      <c r="P99" s="45"/>
      <c r="Q99" s="39" t="str">
        <f>IF(SUM(D99:P99)=0,"",SUM(D99:P99))</f>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IF(SUM(D100:P100)=0,"",SUM(D100:P100))</f>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IF(SUM(D101:P101)=0,"",SUM(D101:P101))</f>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IF(SUM(D102:P102)=0,"",SUM(D102:P102))</f>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IF(SUM(D103:P103)=0,"",SUM(D103:P103))</f>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IF(SUM(D104:P104)=0,"",SUM(D104:P104))</f>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IF(SUM(D105:P105)=0,"",SUM(D105:P105))</f>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IF(SUM(D106:P106)=0,"",SUM(D106:P106))</f>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IF(SUM(D107:P107)=0,"",SUM(D107:P107))</f>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IF(SUM(D108:P108)=0,"",SUM(D108:P108))</f>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96"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95" priority="1056" operator="greaterThan">
      <formula>0</formula>
    </cfRule>
  </conditionalFormatting>
  <conditionalFormatting sqref="D10:P10 D12:P12 D14:P14 D16:P16 D18:Q18 D20:Q20 D22:Q22 D24:Q24 D26:Q26">
    <cfRule type="cellIs" dxfId="94"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93" priority="628" operator="greaterThan">
      <formula>0</formula>
    </cfRule>
  </conditionalFormatting>
  <conditionalFormatting sqref="Q10 Q12 Q14 Q16">
    <cfRule type="cellIs" dxfId="92"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91"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90"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89"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88" priority="497" operator="greaterThan">
      <formula>0</formula>
    </cfRule>
  </conditionalFormatting>
  <conditionalFormatting sqref="D51:I51 D53:I53 D55:I55 D57:K57 D59:M59 D61:K61 D63:M63 D65:P65 D67:P67 K51:P51 K53 M53:P53 M55:P55 M57 M61:P61 O57:P57 O63:P63 O59:P59 K55">
    <cfRule type="cellIs" dxfId="87"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86"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85"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84" priority="485" operator="greaterThan">
      <formula>0</formula>
    </cfRule>
  </conditionalFormatting>
  <conditionalFormatting sqref="C10 C30 C52 C72 C92">
    <cfRule type="containsText" dxfId="83" priority="461" operator="containsText" text="Koetschet">
      <formula>NOT(ISERROR(SEARCH("Koetschet",C10)))</formula>
    </cfRule>
  </conditionalFormatting>
  <conditionalFormatting sqref="C68 C88 C108">
    <cfRule type="containsText" dxfId="82" priority="276" operator="containsText" text="Koetschet">
      <formula>NOT(ISERROR(SEARCH("Koetschet",C68)))</formula>
    </cfRule>
    <cfRule type="containsText" dxfId="81" priority="277" operator="containsText" text="Gumy">
      <formula>NOT(ISERROR(SEARCH("Gumy",C68)))</formula>
    </cfRule>
    <cfRule type="containsText" dxfId="80" priority="278" operator="containsText" text="Moser">
      <formula>NOT(ISERROR(SEARCH("Moser",C68)))</formula>
    </cfRule>
    <cfRule type="containsText" dxfId="79" priority="279" operator="containsText" text="Mayor">
      <formula>NOT(ISERROR(SEARCH("Mayor",C68)))</formula>
    </cfRule>
    <cfRule type="containsText" dxfId="78" priority="280" operator="containsText" text="Martin-Penalosa">
      <formula>NOT(ISERROR(SEARCH("Martin-Penalosa",C68)))</formula>
    </cfRule>
  </conditionalFormatting>
  <conditionalFormatting sqref="C22 C42 C64 C84 C104">
    <cfRule type="containsText" dxfId="77" priority="286" operator="containsText" text="Koetschet">
      <formula>NOT(ISERROR(SEARCH("Koetschet",C22)))</formula>
    </cfRule>
  </conditionalFormatting>
  <conditionalFormatting sqref="C66 C86 C106">
    <cfRule type="containsText" dxfId="76" priority="281" operator="containsText" text="Koetschet">
      <formula>NOT(ISERROR(SEARCH("Koetschet",C66)))</formula>
    </cfRule>
    <cfRule type="containsText" dxfId="75" priority="282" operator="containsText" text="Gumy">
      <formula>NOT(ISERROR(SEARCH("Gumy",C66)))</formula>
    </cfRule>
    <cfRule type="containsText" dxfId="74" priority="283" operator="containsText" text="Moser">
      <formula>NOT(ISERROR(SEARCH("Moser",C66)))</formula>
    </cfRule>
    <cfRule type="containsText" dxfId="73" priority="284" operator="containsText" text="Mayor">
      <formula>NOT(ISERROR(SEARCH("Mayor",C66)))</formula>
    </cfRule>
    <cfRule type="containsText" dxfId="72"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71"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70"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69" priority="87" operator="greaterThan">
      <formula>0</formula>
    </cfRule>
  </conditionalFormatting>
  <conditionalFormatting sqref="C12 C32 C54 C74 C94">
    <cfRule type="containsText" dxfId="68" priority="85" operator="containsText" text="Koetschet">
      <formula>NOT(ISERROR(SEARCH("Koetschet",C12)))</formula>
    </cfRule>
  </conditionalFormatting>
  <conditionalFormatting sqref="C14 C34 C56 C76 C96">
    <cfRule type="containsText" dxfId="67" priority="84" operator="containsText" text="Koetschet">
      <formula>NOT(ISERROR(SEARCH("Koetschet",C14)))</formula>
    </cfRule>
  </conditionalFormatting>
  <conditionalFormatting sqref="C16 C36 C58 C78 C98">
    <cfRule type="containsText" dxfId="66" priority="83" operator="containsText" text="Koetschet">
      <formula>NOT(ISERROR(SEARCH("Koetschet",C16)))</formula>
    </cfRule>
  </conditionalFormatting>
  <conditionalFormatting sqref="C18 C38 C60 C80 C100">
    <cfRule type="containsText" dxfId="65" priority="82" operator="containsText" text="Koetschet">
      <formula>NOT(ISERROR(SEARCH("Koetschet",C18)))</formula>
    </cfRule>
  </conditionalFormatting>
  <conditionalFormatting sqref="C20 C40 C62 C82 C102">
    <cfRule type="containsText" dxfId="64" priority="81" operator="containsText" text="Koetschet">
      <formula>NOT(ISERROR(SEARCH("Koetschet",C20)))</formula>
    </cfRule>
  </conditionalFormatting>
  <conditionalFormatting sqref="C24">
    <cfRule type="containsText" dxfId="63" priority="78" operator="containsText" text="Koetschet">
      <formula>NOT(ISERROR(SEARCH("Koetschet",C24)))</formula>
    </cfRule>
  </conditionalFormatting>
  <conditionalFormatting sqref="C26">
    <cfRule type="containsText" dxfId="62" priority="77" operator="containsText" text="Koetschet">
      <formula>NOT(ISERROR(SEARCH("Koetschet",C26)))</formula>
    </cfRule>
  </conditionalFormatting>
  <conditionalFormatting sqref="H29">
    <cfRule type="cellIs" dxfId="61" priority="68" operator="greaterThan">
      <formula>0</formula>
    </cfRule>
  </conditionalFormatting>
  <conditionalFormatting sqref="H31">
    <cfRule type="cellIs" dxfId="60" priority="67" operator="greaterThan">
      <formula>0</formula>
    </cfRule>
  </conditionalFormatting>
  <conditionalFormatting sqref="J35">
    <cfRule type="cellIs" dxfId="58" priority="65" operator="greaterThan">
      <formula>0</formula>
    </cfRule>
  </conditionalFormatting>
  <conditionalFormatting sqref="L53">
    <cfRule type="cellIs" dxfId="56" priority="63" operator="greaterThan">
      <formula>0</formula>
    </cfRule>
  </conditionalFormatting>
  <conditionalFormatting sqref="L55">
    <cfRule type="cellIs" dxfId="55" priority="62" operator="greaterThan">
      <formula>0</formula>
    </cfRule>
  </conditionalFormatting>
  <conditionalFormatting sqref="N59">
    <cfRule type="cellIs" dxfId="54" priority="61" operator="greaterThan">
      <formula>0</formula>
    </cfRule>
  </conditionalFormatting>
  <conditionalFormatting sqref="N57">
    <cfRule type="cellIs" dxfId="53" priority="60" operator="greaterThan">
      <formula>0</formula>
    </cfRule>
  </conditionalFormatting>
  <conditionalFormatting sqref="L61">
    <cfRule type="cellIs" dxfId="52" priority="59" operator="greaterThan">
      <formula>0</formula>
    </cfRule>
  </conditionalFormatting>
  <conditionalFormatting sqref="P71">
    <cfRule type="cellIs" dxfId="51" priority="52" operator="greaterThan">
      <formula>0</formula>
    </cfRule>
  </conditionalFormatting>
  <conditionalFormatting sqref="F71">
    <cfRule type="cellIs" dxfId="50" priority="57" operator="greaterThan">
      <formula>0</formula>
    </cfRule>
  </conditionalFormatting>
  <conditionalFormatting sqref="H71">
    <cfRule type="cellIs" dxfId="49" priority="56" operator="greaterThan">
      <formula>0</formula>
    </cfRule>
  </conditionalFormatting>
  <conditionalFormatting sqref="J71">
    <cfRule type="cellIs" dxfId="48" priority="55" operator="greaterThan">
      <formula>0</formula>
    </cfRule>
  </conditionalFormatting>
  <conditionalFormatting sqref="L71">
    <cfRule type="cellIs" dxfId="47" priority="54" operator="greaterThan">
      <formula>0</formula>
    </cfRule>
  </conditionalFormatting>
  <conditionalFormatting sqref="N71">
    <cfRule type="cellIs" dxfId="46" priority="53" operator="greaterThan">
      <formula>0</formula>
    </cfRule>
  </conditionalFormatting>
  <conditionalFormatting sqref="N73">
    <cfRule type="cellIs" dxfId="40" priority="44" operator="greaterThan">
      <formula>0</formula>
    </cfRule>
  </conditionalFormatting>
  <conditionalFormatting sqref="P73">
    <cfRule type="cellIs" dxfId="39" priority="43" operator="greaterThan">
      <formula>0</formula>
    </cfRule>
  </conditionalFormatting>
  <conditionalFormatting sqref="N63">
    <cfRule type="cellIs" dxfId="38" priority="39" operator="greaterThan">
      <formula>0</formula>
    </cfRule>
  </conditionalFormatting>
  <conditionalFormatting sqref="C44">
    <cfRule type="containsText" dxfId="37" priority="38" operator="containsText" text="Koetschet">
      <formula>NOT(ISERROR(SEARCH("Koetschet",C44)))</formula>
    </cfRule>
  </conditionalFormatting>
  <conditionalFormatting sqref="C46 C48">
    <cfRule type="containsText" dxfId="36" priority="37" operator="containsText" text="Koetschet">
      <formula>NOT(ISERROR(SEARCH("Koetschet",C46)))</formula>
    </cfRule>
  </conditionalFormatting>
  <conditionalFormatting sqref="D71">
    <cfRule type="cellIs" dxfId="35" priority="36" operator="greaterThan">
      <formula>0</formula>
    </cfRule>
  </conditionalFormatting>
  <conditionalFormatting sqref="F29">
    <cfRule type="cellIs" dxfId="34" priority="35" operator="greaterThan">
      <formula>0</formula>
    </cfRule>
  </conditionalFormatting>
  <conditionalFormatting sqref="F31">
    <cfRule type="cellIs" dxfId="33" priority="34" operator="greaterThan">
      <formula>0</formula>
    </cfRule>
  </conditionalFormatting>
  <conditionalFormatting sqref="F41">
    <cfRule type="cellIs" dxfId="32" priority="29" operator="greaterThan">
      <formula>0</formula>
    </cfRule>
  </conditionalFormatting>
  <conditionalFormatting sqref="F35">
    <cfRule type="cellIs" dxfId="31" priority="32" operator="greaterThan">
      <formula>0</formula>
    </cfRule>
  </conditionalFormatting>
  <conditionalFormatting sqref="F47">
    <cfRule type="cellIs" dxfId="30" priority="28" operator="greaterThan">
      <formula>0</formula>
    </cfRule>
  </conditionalFormatting>
  <conditionalFormatting sqref="F39">
    <cfRule type="cellIs" dxfId="26" priority="20" operator="greaterThan">
      <formula>0</formula>
    </cfRule>
  </conditionalFormatting>
  <conditionalFormatting sqref="F43">
    <cfRule type="cellIs" dxfId="25" priority="26" operator="greaterThan">
      <formula>0</formula>
    </cfRule>
  </conditionalFormatting>
  <conditionalFormatting sqref="F33">
    <cfRule type="cellIs" dxfId="22" priority="23" operator="greaterThan">
      <formula>0</formula>
    </cfRule>
  </conditionalFormatting>
  <conditionalFormatting sqref="F37">
    <cfRule type="cellIs" dxfId="21" priority="22" operator="greaterThan">
      <formula>0</formula>
    </cfRule>
  </conditionalFormatting>
  <conditionalFormatting sqref="H43">
    <cfRule type="cellIs" dxfId="20" priority="21" operator="greaterThan">
      <formula>0</formula>
    </cfRule>
  </conditionalFormatting>
  <conditionalFormatting sqref="H41">
    <cfRule type="cellIs" dxfId="18" priority="19" operator="greaterThan">
      <formula>0</formula>
    </cfRule>
  </conditionalFormatting>
  <conditionalFormatting sqref="H45">
    <cfRule type="cellIs" dxfId="17" priority="18" operator="greaterThan">
      <formula>0</formula>
    </cfRule>
  </conditionalFormatting>
  <conditionalFormatting sqref="H47">
    <cfRule type="cellIs" dxfId="16" priority="17" operator="greaterThan">
      <formula>0</formula>
    </cfRule>
  </conditionalFormatting>
  <conditionalFormatting sqref="J51">
    <cfRule type="cellIs" dxfId="14" priority="15" operator="greaterThan">
      <formula>0</formula>
    </cfRule>
  </conditionalFormatting>
  <conditionalFormatting sqref="J53">
    <cfRule type="cellIs" dxfId="13" priority="14" operator="greaterThan">
      <formula>0</formula>
    </cfRule>
  </conditionalFormatting>
  <conditionalFormatting sqref="J55">
    <cfRule type="cellIs" dxfId="12"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D4" sqref="D4"/>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31</v>
      </c>
      <c r="B2" s="94"/>
      <c r="C2" s="86"/>
      <c r="D2" s="86"/>
      <c r="F2" s="89"/>
    </row>
    <row r="3" spans="1:6" x14ac:dyDescent="0.25">
      <c r="A3" s="64" t="s">
        <v>24</v>
      </c>
      <c r="B3" s="64" t="s">
        <v>25</v>
      </c>
      <c r="C3" s="64" t="s">
        <v>26</v>
      </c>
      <c r="D3" s="64" t="s">
        <v>27</v>
      </c>
      <c r="E3" s="83" t="s">
        <v>30</v>
      </c>
      <c r="F3" s="65" t="s">
        <v>28</v>
      </c>
    </row>
    <row r="4" spans="1:6" x14ac:dyDescent="0.25">
      <c r="A4" s="66">
        <v>45048</v>
      </c>
      <c r="B4" s="67">
        <f>WEEKNUM(A4,1)</f>
        <v>18</v>
      </c>
      <c r="C4" s="68" t="s">
        <v>40</v>
      </c>
      <c r="D4" s="69">
        <v>2.0833333333333332E-2</v>
      </c>
      <c r="E4" s="79" t="s">
        <v>46</v>
      </c>
      <c r="F4" s="70"/>
    </row>
    <row r="5" spans="1:6" x14ac:dyDescent="0.25">
      <c r="A5" s="66">
        <v>45048</v>
      </c>
      <c r="B5" s="67">
        <f t="shared" ref="B5:B38" si="0">WEEKNUM(A5,1)</f>
        <v>18</v>
      </c>
      <c r="C5" s="68"/>
      <c r="D5" s="69">
        <v>2.0833333333333332E-2</v>
      </c>
      <c r="E5" s="79" t="s">
        <v>47</v>
      </c>
      <c r="F5" s="70"/>
    </row>
    <row r="6" spans="1:6" x14ac:dyDescent="0.25">
      <c r="A6" s="66"/>
      <c r="B6" s="67">
        <f t="shared" si="0"/>
        <v>0</v>
      </c>
      <c r="C6" s="68"/>
      <c r="D6" s="69"/>
      <c r="E6" s="79"/>
      <c r="F6" s="70"/>
    </row>
    <row r="7" spans="1:6" x14ac:dyDescent="0.25">
      <c r="A7" s="66"/>
      <c r="B7" s="67">
        <f t="shared" si="0"/>
        <v>0</v>
      </c>
      <c r="C7" s="68"/>
      <c r="D7" s="69"/>
      <c r="E7" s="79"/>
      <c r="F7" s="70"/>
    </row>
    <row r="8" spans="1:6" x14ac:dyDescent="0.25">
      <c r="A8" s="66"/>
      <c r="B8" s="67">
        <f t="shared" si="0"/>
        <v>0</v>
      </c>
      <c r="C8" s="68"/>
      <c r="D8" s="69"/>
      <c r="E8" s="79"/>
      <c r="F8" s="70"/>
    </row>
    <row r="9" spans="1:6" x14ac:dyDescent="0.25">
      <c r="A9" s="66"/>
      <c r="B9" s="67">
        <f t="shared" si="0"/>
        <v>0</v>
      </c>
      <c r="C9" s="68"/>
      <c r="D9" s="69"/>
      <c r="E9" s="79"/>
      <c r="F9" s="70"/>
    </row>
    <row r="10" spans="1:6" x14ac:dyDescent="0.25">
      <c r="A10" s="66"/>
      <c r="B10" s="67">
        <f t="shared" si="0"/>
        <v>0</v>
      </c>
      <c r="C10" s="68"/>
      <c r="D10" s="69"/>
      <c r="E10" s="79"/>
      <c r="F10" s="70"/>
    </row>
    <row r="11" spans="1:6" x14ac:dyDescent="0.25">
      <c r="A11" s="66"/>
      <c r="B11" s="67">
        <f t="shared" si="0"/>
        <v>0</v>
      </c>
      <c r="C11" s="68"/>
      <c r="D11" s="69"/>
      <c r="E11" s="79"/>
      <c r="F11" s="70"/>
    </row>
    <row r="12" spans="1:6" x14ac:dyDescent="0.25">
      <c r="A12" s="66"/>
      <c r="B12" s="67">
        <f t="shared" si="0"/>
        <v>0</v>
      </c>
      <c r="C12" s="68"/>
      <c r="D12" s="69"/>
      <c r="E12" s="79"/>
      <c r="F12" s="70"/>
    </row>
    <row r="13" spans="1:6" x14ac:dyDescent="0.25">
      <c r="A13" s="66"/>
      <c r="B13" s="67">
        <f t="shared" si="0"/>
        <v>0</v>
      </c>
      <c r="C13" s="68"/>
      <c r="D13" s="69"/>
      <c r="E13" s="79"/>
      <c r="F13" s="70"/>
    </row>
    <row r="14" spans="1:6" x14ac:dyDescent="0.25">
      <c r="A14" s="66"/>
      <c r="B14" s="67">
        <f t="shared" si="0"/>
        <v>0</v>
      </c>
      <c r="C14" s="68"/>
      <c r="D14" s="69"/>
      <c r="E14" s="79"/>
      <c r="F14" s="70"/>
    </row>
    <row r="15" spans="1:6" x14ac:dyDescent="0.25">
      <c r="A15" s="66"/>
      <c r="B15" s="67">
        <f t="shared" si="0"/>
        <v>0</v>
      </c>
      <c r="C15" s="68"/>
      <c r="D15" s="69"/>
      <c r="E15" s="79"/>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2023-05-02T10:13:28Z</dcterms:modified>
</cp:coreProperties>
</file>