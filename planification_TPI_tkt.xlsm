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1"/>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C94" i="1" l="1"/>
  <c r="D2" i="1"/>
  <c r="F2" i="1"/>
  <c r="H2" i="1"/>
  <c r="F6" i="1"/>
  <c r="B35" i="1"/>
  <c r="B6" i="8"/>
  <c r="B7" i="8"/>
  <c r="B8" i="8"/>
  <c r="B9" i="8"/>
  <c r="B10" i="8"/>
  <c r="B11" i="8"/>
  <c r="B12" i="8"/>
  <c r="B13" i="8"/>
  <c r="B14" i="8"/>
  <c r="B15" i="8"/>
  <c r="B16" i="8"/>
  <c r="B17" i="8"/>
  <c r="B18" i="8"/>
  <c r="B19" i="8"/>
  <c r="B20" i="8"/>
  <c r="B21" i="8"/>
  <c r="B22" i="8"/>
  <c r="B23" i="8"/>
  <c r="B24" i="8"/>
  <c r="B25" i="8"/>
  <c r="B26" i="8"/>
  <c r="B27" i="8"/>
  <c r="B28" i="8"/>
  <c r="B29"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4" i="8"/>
  <c r="B5" i="8"/>
  <c r="B61" i="1"/>
  <c r="L62" i="1"/>
  <c r="B57" i="1"/>
  <c r="C56" i="1"/>
  <c r="C54" i="1"/>
  <c r="C52" i="1"/>
  <c r="B55" i="1"/>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<sst xmlns="http://schemas.openxmlformats.org/spreadsheetml/2006/main" count="133" uniqueCount="106">
  <si>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</si>
  <si>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</si>
  <si>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</si>
  <si>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</si>
  <si>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</si>
  <si>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</si>
  <si>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</si>
  <si>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</si>
  <si>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</si>
  <si>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</si>
  <si>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</si>
  <si>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</si>
  <si>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</si>
  <si>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</si>
  <si>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</si>
  <si>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</si>
  <si>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</si>
  <si>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</si>
  <si>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</si>
  <si>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</si>
  <si>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</si>
  <si>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</si>
  <si>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</si>
  <si>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</si>
  <si>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</si>
  <si>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</si>
  <si>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</si>
  <si>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</si>
  <si>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</si>
  <si>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</si>
  <si>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</si>
  <si>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</si>
  <si>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</si>
  <si>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</si>
  <si>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</si>
  <si>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</si>
  <si>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</si>
  <si>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</si>
  <si>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</si>
  <si>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</si>
  <si>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</si>
  <si>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</si>
  <si>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</si>
  <si>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</si>
  <si>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</si>
  <si>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</si>
  <si>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</si>
  <si>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</si>
  <si>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</si>
  <si>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</si>
  <si>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</si>
  <si>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</si>
  <si>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</si>
  <si>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</si>
  <si>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</si>
  <si>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</si>
  <si>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</si>
  <si>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</si>
  <si>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</si>
  <si>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</si>
  <si>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</si>
  <si>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</si>
  <si>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</si>
  <si>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</si>
  <si>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</si>
  <si>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</si>
  <si>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</si>
  <si>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</si>
  <si>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</si>
  <si>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</si>
  <si>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</si>
  <si>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</si>
  <si>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</si>
  <si>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</si>
  <si>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</si>
  <si>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</si>
  <si>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</si>
  <si>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</si>
  <si>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</si>
  <si>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</si>
  <si>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</si>
  <si>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</si>
  <si>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</si>
  <si>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</si>
  <si>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</si>
  <si>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</si>
  <si>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</si>
  <si>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</si>
  <si>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</si>
  <si>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</si>
  <si>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</si>
  <si>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</si>
  <si>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</si>
  <si>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</si>
  <si>
    <t>Création du gabarit</t>
  </si>
  <si>
    <t>Fichier : layout.blade.php</t>
  </si>
  <si>
    <t>Page d'accueil fonctionnelle</t>
  </si>
  <si>
    <t>Fichier : home.blade.php</t>
  </si>
  <si>
    <t>Gabarit fonctionnel</t>
  </si>
  <si>
    <t>Visualisation d'une vidéo sur le fonctionnement du login et de la connexion à la base de données avec Laravel</t>
  </si>
  <si>
    <t>Remplissage du journal de travail pour le lundi et le mardi</t>
  </si>
  <si>
    <t>Création de la migration de la base de données et connexion à la base fonctionnelle</t>
  </si>
  <si>
    <t>Création d'un enregistrement d'utilisateur</t>
  </si>
  <si>
    <t>Problème au niveau du modèle User</t>
  </si>
  <si>
    <t>Rédaction de la partie objectif et mise en page</t>
  </si>
  <si>
    <t>Remplissage du journal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</si>
</sst>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C1"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tabSelected="1" topLeftCell="A22" zoomScale="60" zoomScaleNormal="60" zoomScalePageLayoutView="70" workbookViewId="0">
      <selection activeCell="N96" sqref="N96"/>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1.65625</v>
      </c>
      <c r="C4" s="22"/>
      <c r="D4" s="4">
        <f>SUMIF($C$9:$C$108,$A4,D$9:D$108)</f>
        <v>0.71875</v>
      </c>
      <c r="E4" s="2"/>
      <c r="F4" s="4">
        <f>SUMIF($C$9:$C$108,$A4,F$9:F$108)</f>
        <v>0.9375</v>
      </c>
      <c r="G4" s="2"/>
      <c r="H4" s="4">
        <f>SUMIF($C$9:$C$108,$A4,H$9:H$108)</f>
        <v>0</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0.34375</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6.25E-2</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SUMIFS(Journal!$D$4:$D$9969,Journal!$B$4:$B$9969,D$6,Journal!$C$4:$C$9969,$B11)</f>
        <v>6.25E-2</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f t="shared" si="0"/>
        <v>6.25E-2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6.25E-2</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f t="shared" si="0"/>
        <v>6.25E-2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6.25E-2</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f t="shared" si="0"/>
        <v>6.25E-2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9.375E-2</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f t="shared" si="0"/>
        <v>9.375E-2</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0.77083333333333337</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4.1666666666666664E-2</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f t="shared" si="1"/>
        <v>4.1666666666666664E-2</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SUMIFS(Journal!$D$4:$D$9969,Journal!$B$4:$B$9969,D$6,Journal!$C$4:$C$9969,$B31)</f>
        <v>8.3333333333333329E-2</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f t="shared" si="1"/>
        <v>8.3333333333333329E-2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6.25E-2</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f t="shared" si="1"/>
        <v>6.25E-2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2.0833333333333332E-2</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f t="shared" si="1"/>
        <v>2.0833333333333332E-2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0.17708333333333331</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f t="shared" si="1"/>
        <v>0.17708333333333331</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SUMIFS(Journal!$D$4:$D$9969,Journal!$B$4:$B$9969,D$6,Journal!$C$4:$C$9969,$B39)</f>
        <v>0</v>
      </c>
      <c r="E40" s="42"/>
      <c r="F40" s="41">
        <f>SUMIFS(Journal!$D$4:$D$9969,Journal!$B$4:$B$9969,F$6,Journal!$C$4:$C$9969,$B39)</f>
        <v>0.17708333333333334</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f t="shared" si="1"/>
        <v>0.17708333333333334</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t="str">
        <f t="shared" si="1"/>
        <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v>
      </c>
      <c r="K44" s="42"/>
      <c r="L44" s="41">
        <f>SUMIFS(Journal!$D$4:$D$9969,Journal!$B$4:$B$9969,L$6,Journal!$C$4:$C$9969,$B43)</f>
        <v>0</v>
      </c>
      <c r="M44" s="42"/>
      <c r="N44" s="41">
        <f>SUMIFS(Journal!$D$4:$D$9969,Journal!$B$4:$B$9969,N$6,Journal!$C$4:$C$9969,$B43)</f>
        <v>0</v>
      </c>
      <c r="O44" s="42"/>
      <c r="P44" s="41">
        <f>SUMIFS(Journal!$D$4:$D$9969,Journal!$B$4:$B$9969,P$6,Journal!$C$4:$C$9969,$B43)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0.20833333333333334</v>
      </c>
      <c r="G46" s="42"/>
      <c r="H46" s="41">
        <f>SUMIFS(Journal!$D$4:$D$9969,Journal!$B$4:$B$9969,H$6,Journal!$C$4:$C$9969,$B45)</f>
        <v>0</v>
      </c>
      <c r="I46" s="42"/>
      <c r="J46" s="41">
        <f>SUMIFS(Journal!$D$4:$D$9969,Journal!$B$4:$B$9969,J$6,Journal!$C$4:$C$9969,$B45)</f>
        <v>0</v>
      </c>
      <c r="K46" s="42"/>
      <c r="L46" s="41">
        <f>SUMIFS(Journal!$D$4:$D$9969,Journal!$B$4:$B$9969,L$6,Journal!$C$4:$C$9969,$B45)</f>
        <v>0</v>
      </c>
      <c r="M46" s="42"/>
      <c r="N46" s="41">
        <f>SUMIFS(Journal!$D$4:$D$9969,Journal!$B$4:$B$9969,N$6,Journal!$C$4:$C$9969,$B45)</f>
        <v>0</v>
      </c>
      <c r="O46" s="42"/>
      <c r="P46" s="41">
        <f>SUMIFS(Journal!$D$4:$D$9969,Journal!$B$4:$B$9969,P$6,Journal!$C$4:$C$9969,$B45)</f>
        <v>0</v>
      </c>
      <c r="Q46" s="43">
        <f t="shared" si="1"/>
        <v>0.20833333333333334</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SUMIFS(Journal!$D$4:$D$9969,Journal!$B$4:$B$9969,D$6,Journal!$C$4:$C$9969,$B47)</f>
        <v>0</v>
      </c>
      <c r="E48" s="42"/>
      <c r="F48" s="41">
        <f>SUMIFS(Journal!$D$4:$D$9969,Journal!$B$4:$B$9969,F$6,Journal!$C$4:$C$9969,$B47)</f>
        <v>0.15625</v>
      </c>
      <c r="G48" s="42"/>
      <c r="H48" s="41">
        <f>SUMIFS(Journal!$D$4:$D$9969,Journal!$B$4:$B$9969,H$6,Journal!$C$4:$C$9969,$B47)</f>
        <v>0</v>
      </c>
      <c r="I48" s="42"/>
      <c r="J48" s="41">
        <f>SUMIFS(Journal!$D$4:$D$9969,Journal!$B$4:$B$9969,J$6,Journal!$C$4:$C$9969,$B47)</f>
        <v>0</v>
      </c>
      <c r="K48" s="42"/>
      <c r="L48" s="41">
        <f>SUMIFS(Journal!$D$4:$D$9969,Journal!$B$4:$B$9969,L$6,Journal!$C$4:$C$9969,$B47)</f>
        <v>0</v>
      </c>
      <c r="M48" s="42"/>
      <c r="N48" s="41">
        <f>SUMIFS(Journal!$D$4:$D$9969,Journal!$B$4:$B$9969,N$6,Journal!$C$4:$C$9969,$B47)</f>
        <v>0</v>
      </c>
      <c r="O48" s="42"/>
      <c r="P48" s="41">
        <f>SUMIFS(Journal!$D$4:$D$9969,Journal!$B$4:$B$9969,P$6,Journal!$C$4:$C$9969,$B47)</f>
        <v>0</v>
      </c>
      <c r="Q48" s="43">
        <f t="shared" si="1"/>
        <v>0.15625</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0</v>
      </c>
      <c r="M54" s="42"/>
      <c r="N54" s="41">
        <f>SUMIFS(Journal!$D$4:$D$9969,Journal!$B$4:$B$9969,N$6,Journal!$C$4:$C$9969,$B53)</f>
        <v>0</v>
      </c>
      <c r="O54" s="42"/>
      <c r="P54" s="41">
        <f>SUMIFS(Journal!$D$4:$D$9969,Journal!$B$4:$B$9969,P$6,Journal!$C$4:$C$9969,$B53)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0</v>
      </c>
      <c r="M56" s="42"/>
      <c r="N56" s="41">
        <f>SUMIFS(Journal!$D$4:$D$9969,Journal!$B$4:$B$9969,N$6,Journal!$C$4:$C$9969,$B55)</f>
        <v>0</v>
      </c>
      <c r="O56" s="42"/>
      <c r="P56" s="41">
        <f>SUMIFS(Journal!$D$4:$D$9969,Journal!$B$4:$B$9969,P$6,Journal!$C$4:$C$9969,$B55)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0.30555555555555558</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0.13541666666666666</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SUMIFS(Journal!$D$4:$D$9969,Journal!$B$4:$B$9969,D$6,Journal!$C$4:$C$9969,$B73)</f>
        <v>8.3333333333333329E-2</v>
      </c>
      <c r="E74" s="42"/>
      <c r="F74" s="41">
        <f>SUMIFS(Journal!$D$4:$D$9969,Journal!$B$4:$B$9969,F$6,Journal!$C$4:$C$9969,$B73)</f>
        <v>6.25E-2</v>
      </c>
      <c r="G74" s="42"/>
      <c r="H74" s="41">
        <f>SUMIFS(Journal!$D$4:$D$9969,Journal!$B$4:$B$9969,H$6,Journal!$C$4:$C$9969,$B73)</f>
        <v>0</v>
      </c>
      <c r="I74" s="42"/>
      <c r="J74" s="41">
        <f>SUMIFS(Journal!$D$4:$D$9969,Journal!$B$4:$B$9969,J$6,Journal!$C$4:$C$9969,$B73)</f>
        <v>0</v>
      </c>
      <c r="K74" s="42"/>
      <c r="L74" s="41">
        <f>SUMIFS(Journal!$D$4:$D$9969,Journal!$B$4:$B$9969,L$6,Journal!$C$4:$C$9969,$B73)</f>
        <v>0</v>
      </c>
      <c r="M74" s="42"/>
      <c r="N74" s="41">
        <f>SUMIFS(Journal!$D$4:$D$9969,Journal!$B$4:$B$9969,N$6,Journal!$C$4:$C$9969,$B73)</f>
        <v>0</v>
      </c>
      <c r="O74" s="42"/>
      <c r="P74" s="41">
        <f>SUMIFS(Journal!$D$4:$D$9969,Journal!$B$4:$B$9969,P$6,Journal!$C$4:$C$9969,$B73)</f>
        <v>0</v>
      </c>
      <c r="Q74" s="43">
        <f t="shared" si="3"/>
        <v>0.14583333333333331</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SUMIFS(Journal!$D$4:$D$9969,Journal!$B$4:$B$9969,D$6,Journal!$C$4:$C$9969,$B75)</f>
        <v>1.0416666666666666E-2</v>
      </c>
      <c r="E76" s="42"/>
      <c r="F76" s="41">
        <f>SUMIFS(Journal!$D$4:$D$9969,Journal!$B$4:$B$9969,F$6,Journal!$C$4:$C$9969,$B75)</f>
        <v>1.3888888888888888E-2</v>
      </c>
      <c r="G76" s="42"/>
      <c r="H76" s="41">
        <f>SUMIFS(Journal!$D$4:$D$9969,Journal!$B$4:$B$9969,H$6,Journal!$C$4:$C$9969,$B75)</f>
        <v>0</v>
      </c>
      <c r="I76" s="42"/>
      <c r="J76" s="41">
        <f>SUMIFS(Journal!$D$4:$D$9969,Journal!$B$4:$B$9969,J$6,Journal!$C$4:$C$9969,$B75)</f>
        <v>0</v>
      </c>
      <c r="K76" s="42"/>
      <c r="L76" s="41">
        <f>SUMIFS(Journal!$D$4:$D$9969,Journal!$B$4:$B$9969,L$6,Journal!$C$4:$C$9969,$B75)</f>
        <v>0</v>
      </c>
      <c r="M76" s="42"/>
      <c r="N76" s="41">
        <f>SUMIFS(Journal!$D$4:$D$9969,Journal!$B$4:$B$9969,N$6,Journal!$C$4:$C$9969,$B75)</f>
        <v>0</v>
      </c>
      <c r="O76" s="42"/>
      <c r="P76" s="41">
        <f>SUMIFS(Journal!$D$4:$D$9969,Journal!$B$4:$B$9969,P$6,Journal!$C$4:$C$9969,$B75)</f>
        <v>0</v>
      </c>
      <c r="Q76" s="43">
        <f t="shared" si="3"/>
        <v>2.4305555555555552E-2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7.9861111111111105E-2</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t="str">
        <f>A4</f>
        <v>Koetschet</v>
      </c>
      <c r="D94" s="41">
        <f>SUMIFS(Journal!$D$4:$D$9969,Journal!$B$4:$B$9969,D$6,Journal!$C$4:$C$9969,$B93)</f>
        <v>0</v>
      </c>
      <c r="E94" s="42"/>
      <c r="F94" s="41">
        <f>SUMIFS(Journal!$D$4:$D$9969,Journal!$B$4:$B$9969,F$6,Journal!$C$4:$C$9969,$B93)</f>
        <v>5.9027777777777776E-2</v>
      </c>
      <c r="G94" s="42"/>
      <c r="H94" s="41">
        <f>SUMIFS(Journal!$D$4:$D$9969,Journal!$B$4:$B$9969,H$6,Journal!$C$4:$C$9969,$B93)</f>
        <v>0</v>
      </c>
      <c r="I94" s="42"/>
      <c r="J94" s="41">
        <f>SUMIFS(Journal!$D$4:$D$9969,Journal!$B$4:$B$9969,J$6,Journal!$C$4:$C$9969,$B93)</f>
        <v>0</v>
      </c>
      <c r="K94" s="42"/>
      <c r="L94" s="41">
        <f>SUMIFS(Journal!$D$4:$D$9969,Journal!$B$4:$B$9969,L$6,Journal!$C$4:$C$9969,$B93)</f>
        <v>0</v>
      </c>
      <c r="M94" s="42"/>
      <c r="N94" s="41">
        <f>SUMIFS(Journal!$D$4:$D$9969,Journal!$B$4:$B$9969,N$6,Journal!$C$4:$C$9969,$B93)</f>
        <v>0</v>
      </c>
      <c r="O94" s="42"/>
      <c r="P94" s="41">
        <f>SUMIFS(Journal!$D$4:$D$9969,Journal!$B$4:$B$9969,P$6,Journal!$C$4:$C$9969,$B93)</f>
        <v>0</v>
      </c>
      <c r="Q94" s="43">
        <f t="shared" si="4"/>
        <v>5.9027777777777776E-2</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zoomScale="90" zoomScaleNormal="90" workbookViewId="0">
      <selection activeCell="F30" sqref="A1:F30"/>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8" si="0">WEEKNUM(A5,1)</f>
        <v>18</v>
      </c>
      <c r="C5" s="68" t="s">
        <v>70</v>
      </c>
      <c r="D5" s="69">
        <v>0.13541666666666666</v>
      </c>
      <c r="E5" s="79" t="s">
        <v>45</v>
      </c>
      <c r="F5" s="70"/>
    </row>
    <row r="6" spans="1:6" ht="30" x14ac:dyDescent="0.25">
      <c r="A6" s="66">
        <v>45048</v>
      </c>
      <c r="B6" s="67">
        <f t="shared" si="0"/>
        <v>18</v>
      </c>
      <c r="C6" s="68" t="s">
        <v>67</v>
      </c>
      <c r="D6" s="69">
        <v>6.25E-2</v>
      </c>
      <c r="E6" s="79" t="s">
        <v>73</v>
      </c>
      <c r="F6" s="70"/>
    </row>
    <row r="7" spans="1:6" ht="30" x14ac:dyDescent="0.25">
      <c r="A7" s="66">
        <v>45048</v>
      </c>
      <c r="B7" s="67">
        <f t="shared" si="0"/>
        <v>18</v>
      </c>
      <c r="C7" s="68" t="s">
        <v>68</v>
      </c>
      <c r="D7" s="69">
        <v>6.25E-2</v>
      </c>
      <c r="E7" s="79" t="s">
        <v>74</v>
      </c>
      <c r="F7" s="70" t="s">
        <v>76</v>
      </c>
    </row>
    <row r="8" spans="1:6" x14ac:dyDescent="0.25">
      <c r="A8" s="66">
        <v>45049</v>
      </c>
      <c r="B8" s="67">
        <f t="shared" si="0"/>
        <v>18</v>
      </c>
      <c r="C8" s="68" t="s">
        <v>50</v>
      </c>
      <c r="D8" s="69">
        <v>6.25E-2</v>
      </c>
      <c r="E8" s="79" t="s">
        <v>75</v>
      </c>
      <c r="F8" s="70"/>
    </row>
    <row r="9" spans="1:6" x14ac:dyDescent="0.25">
      <c r="A9" s="66">
        <v>45049</v>
      </c>
      <c r="B9" s="67">
        <f t="shared" si="0"/>
        <v>18</v>
      </c>
      <c r="C9" s="68" t="s">
        <v>54</v>
      </c>
      <c r="D9" s="69">
        <v>6.25E-2</v>
      </c>
      <c r="E9" s="79" t="s">
        <v>77</v>
      </c>
      <c r="F9" s="70"/>
    </row>
    <row r="10" spans="1:6" x14ac:dyDescent="0.25">
      <c r="A10" s="66">
        <v>45049</v>
      </c>
      <c r="B10" s="67">
        <f t="shared" si="0"/>
        <v>18</v>
      </c>
      <c r="C10" s="68" t="s">
        <v>53</v>
      </c>
      <c r="D10" s="69">
        <v>3.125E-2</v>
      </c>
      <c r="E10" s="79" t="s">
        <v>78</v>
      </c>
      <c r="F10" s="70" t="s">
        <v>80</v>
      </c>
    </row>
    <row r="11" spans="1:6" x14ac:dyDescent="0.25">
      <c r="A11" s="66">
        <v>45050</v>
      </c>
      <c r="B11" s="67">
        <f t="shared" si="0"/>
        <v>18</v>
      </c>
      <c r="C11" s="68" t="s">
        <v>53</v>
      </c>
      <c r="D11" s="69">
        <v>6.25E-2</v>
      </c>
      <c r="E11" s="79" t="s">
        <v>79</v>
      </c>
      <c r="F11" s="70"/>
    </row>
    <row r="12" spans="1:6" ht="30" x14ac:dyDescent="0.25">
      <c r="A12" s="66">
        <v>45050</v>
      </c>
      <c r="B12" s="67">
        <f t="shared" si="0"/>
        <v>18</v>
      </c>
      <c r="C12" s="68" t="s">
        <v>28</v>
      </c>
      <c r="D12" s="69">
        <v>8.3333333333333329E-2</v>
      </c>
      <c r="E12" s="79" t="s">
        <v>81</v>
      </c>
      <c r="F12" s="70"/>
    </row>
    <row r="13" spans="1:6" ht="30" x14ac:dyDescent="0.25">
      <c r="A13" s="66">
        <v>45050</v>
      </c>
      <c r="B13" s="67">
        <f t="shared" si="0"/>
        <v>18</v>
      </c>
      <c r="C13" s="68" t="s">
        <v>51</v>
      </c>
      <c r="D13" s="69">
        <v>4.1666666666666664E-2</v>
      </c>
      <c r="E13" s="79" t="s">
        <v>84</v>
      </c>
      <c r="F13" s="70" t="s">
        <v>85</v>
      </c>
    </row>
    <row r="14" spans="1:6" x14ac:dyDescent="0.25">
      <c r="A14" s="66">
        <v>45050</v>
      </c>
      <c r="B14" s="67">
        <f t="shared" si="0"/>
        <v>18</v>
      </c>
      <c r="C14" s="68" t="s">
        <v>52</v>
      </c>
      <c r="D14" s="69">
        <v>8.3333333333333329E-2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2.0833333333333332E-2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2.0833333333333332E-2</v>
      </c>
      <c r="E19" s="79" t="s">
        <v>91</v>
      </c>
      <c r="F19" s="70"/>
    </row>
    <row r="20" spans="1:6" ht="60" x14ac:dyDescent="0.25">
      <c r="A20" s="66">
        <v>45054</v>
      </c>
      <c r="B20" s="67">
        <f t="shared" si="0"/>
        <v>19</v>
      </c>
      <c r="C20" s="68" t="s">
        <v>22</v>
      </c>
      <c r="D20" s="69">
        <v>4.1666666666666664E-2</v>
      </c>
      <c r="E20" s="79" t="s">
        <v>92</v>
      </c>
      <c r="F20" s="70" t="s">
        <v>93</v>
      </c>
    </row>
    <row r="21" spans="1:6" x14ac:dyDescent="0.25">
      <c r="A21" s="66">
        <v>45054</v>
      </c>
      <c r="B21" s="67">
        <f t="shared" si="0"/>
        <v>19</v>
      </c>
      <c r="C21" s="68" t="s">
        <v>66</v>
      </c>
      <c r="D21" s="69">
        <v>8.3333333333333329E-2</v>
      </c>
      <c r="E21" s="79" t="s">
        <v>94</v>
      </c>
      <c r="F21" s="70" t="s">
        <v>95</v>
      </c>
    </row>
    <row r="22" spans="1:6" x14ac:dyDescent="0.25">
      <c r="A22" s="66">
        <v>45055</v>
      </c>
      <c r="B22" s="67">
        <f t="shared" si="0"/>
        <v>19</v>
      </c>
      <c r="C22" s="68" t="s">
        <v>58</v>
      </c>
      <c r="D22" s="69">
        <v>0.15625</v>
      </c>
      <c r="E22" s="79" t="s">
        <v>96</v>
      </c>
      <c r="F22" s="70" t="s">
        <v>97</v>
      </c>
    </row>
    <row r="23" spans="1:6" x14ac:dyDescent="0.25">
      <c r="A23" s="66">
        <v>45055</v>
      </c>
      <c r="B23" s="67">
        <f t="shared" si="0"/>
        <v>19</v>
      </c>
      <c r="C23" s="68" t="s">
        <v>66</v>
      </c>
      <c r="D23" s="69">
        <v>9.375E-2</v>
      </c>
      <c r="E23" s="79" t="s">
        <v>98</v>
      </c>
      <c r="F23" s="70"/>
    </row>
    <row r="24" spans="1:6" ht="30" x14ac:dyDescent="0.25">
      <c r="A24" s="66">
        <v>45055</v>
      </c>
      <c r="B24" s="67">
        <f t="shared" si="0"/>
        <v>19</v>
      </c>
      <c r="C24" s="68" t="s">
        <v>88</v>
      </c>
      <c r="D24" s="69">
        <v>2.7777777777777776E-2</v>
      </c>
      <c r="E24" s="79" t="s">
        <v>99</v>
      </c>
      <c r="F24" s="70"/>
    </row>
    <row r="25" spans="1:6" ht="30" x14ac:dyDescent="0.25">
      <c r="A25" s="66">
        <v>45055</v>
      </c>
      <c r="B25" s="67">
        <f t="shared" si="0"/>
        <v>19</v>
      </c>
      <c r="C25" s="68" t="s">
        <v>71</v>
      </c>
      <c r="D25" s="69">
        <v>3.472222222222222E-3</v>
      </c>
      <c r="E25" s="79" t="s">
        <v>100</v>
      </c>
      <c r="F25" s="70"/>
    </row>
    <row r="26" spans="1:6" ht="30" x14ac:dyDescent="0.25">
      <c r="A26" s="66">
        <v>45056</v>
      </c>
      <c r="B26" s="67">
        <f t="shared" si="0"/>
        <v>19</v>
      </c>
      <c r="C26" s="68" t="s">
        <v>69</v>
      </c>
      <c r="D26" s="69">
        <v>0.15625</v>
      </c>
      <c r="E26" s="79" t="s">
        <v>101</v>
      </c>
      <c r="F26" s="70"/>
    </row>
    <row r="27" spans="1:6" x14ac:dyDescent="0.25">
      <c r="A27" s="66">
        <v>45057</v>
      </c>
      <c r="B27" s="67">
        <f t="shared" si="0"/>
        <v>19</v>
      </c>
      <c r="C27" s="68" t="s">
        <v>57</v>
      </c>
      <c r="D27" s="69">
        <v>0.20833333333333334</v>
      </c>
      <c r="E27" s="79" t="s">
        <v>102</v>
      </c>
      <c r="F27" s="70" t="s">
        <v>103</v>
      </c>
    </row>
    <row r="28" spans="1:6" x14ac:dyDescent="0.25">
      <c r="A28" s="66">
        <v>45057</v>
      </c>
      <c r="B28" s="67">
        <f t="shared" si="0"/>
        <v>19</v>
      </c>
      <c r="C28" s="68" t="s">
        <v>28</v>
      </c>
      <c r="D28" s="69">
        <v>6.25E-2</v>
      </c>
      <c r="E28" s="79" t="s">
        <v>104</v>
      </c>
      <c r="F28" s="70"/>
    </row>
    <row r="29" spans="1:6" x14ac:dyDescent="0.25">
      <c r="A29" s="66">
        <v>45057</v>
      </c>
      <c r="B29" s="67">
        <f t="shared" si="0"/>
        <v>19</v>
      </c>
      <c r="C29" s="68" t="s">
        <v>71</v>
      </c>
      <c r="D29" s="69">
        <v>1.0416666666666666E-2</v>
      </c>
      <c r="E29" s="79" t="s">
        <v>105</v>
      </c>
      <c r="F29" s="70"/>
    </row>
    <row r="30" spans="1:6" x14ac:dyDescent="0.25">
      <c r="A30" s="66"/>
      <c r="B30" s="67">
        <f t="shared" si="0"/>
        <v>0</v>
      </c>
      <c r="C30" s="68"/>
      <c r="D30" s="69"/>
      <c r="E30" s="79"/>
      <c r="F30" s="70"/>
    </row>
    <row r="31" spans="1:6" x14ac:dyDescent="0.25">
      <c r="A31" s="66"/>
      <c r="B31" s="67">
        <f t="shared" si="0"/>
        <v>0</v>
      </c>
      <c r="C31" s="68"/>
      <c r="D31" s="69"/>
      <c r="E31" s="79"/>
      <c r="F31" s="70"/>
    </row>
    <row r="32" spans="1:6" x14ac:dyDescent="0.25">
      <c r="A32" s="66"/>
      <c r="B32" s="67">
        <f t="shared" si="0"/>
        <v>0</v>
      </c>
      <c r="C32" s="68"/>
      <c r="D32" s="69"/>
      <c r="E32" s="79"/>
      <c r="F32" s="70"/>
    </row>
    <row r="33" spans="1:6" x14ac:dyDescent="0.25">
      <c r="A33" s="66"/>
      <c r="B33" s="67">
        <f t="shared" si="0"/>
        <v>0</v>
      </c>
      <c r="C33" s="68"/>
      <c r="D33" s="69"/>
      <c r="E33" s="79"/>
      <c r="F33" s="70"/>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si="0"/>
        <v>0</v>
      </c>
      <c r="C38" s="68"/>
      <c r="D38" s="69"/>
      <c r="E38" s="79"/>
      <c r="F38" s="70"/>
    </row>
    <row r="39" spans="1:6" x14ac:dyDescent="0.25">
      <c r="A39" s="66"/>
      <c r="B39" s="67">
        <f t="shared" ref="B39:B102" si="1">WEEKNUM(A39,1)</f>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2023-05-16T08:42:56Z</dcterms:modified>
</cp:coreProperties>
</file>